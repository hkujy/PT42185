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Codes\PT42185\ga\matlab_version\"/>
    </mc:Choice>
  </mc:AlternateContent>
  <xr:revisionPtr revIDLastSave="0" documentId="13_ncr:1_{778CFC3C-47B5-408C-AF75-2F18E67E3FE0}" xr6:coauthVersionLast="36" xr6:coauthVersionMax="40" xr10:uidLastSave="{00000000-0000-0000-0000-000000000000}"/>
  <bookViews>
    <workbookView xWindow="-105" yWindow="-105" windowWidth="23250" windowHeight="13170" xr2:uid="{00000000-000D-0000-FFFF-FFFF00000000}"/>
  </bookViews>
  <sheets>
    <sheet name="model" sheetId="125" r:id="rId1"/>
  </sheets>
  <functionGroups builtInGroupCount="19"/>
  <definedNames>
    <definedName name="Secion_3">#REF!</definedName>
    <definedName name="Section_1">#REF!</definedName>
    <definedName name="Section_10">#REF!</definedName>
    <definedName name="Section_2">#REF!</definedName>
    <definedName name="Section_3">#REF!</definedName>
    <definedName name="Section_4">#REF!</definedName>
    <definedName name="Section_5">#REF!</definedName>
    <definedName name="Section_6">#REF!</definedName>
    <definedName name="Section_7">#REF!</definedName>
    <definedName name="Section_8">#REF!</definedName>
    <definedName name="Section_9">#REF!</definedName>
    <definedName name="section1">#REF!</definedName>
    <definedName name="solver_adj" localSheetId="0" hidden="1">model!$C$8:$C$17,model!$B$20:$B$24</definedName>
    <definedName name="solver_adj_ob" localSheetId="0" hidden="1">1</definedName>
    <definedName name="solver_adj_ob1" localSheetId="0" hidden="1">1</definedName>
    <definedName name="solver_adj_ob2" localSheetId="0" hidden="1">1</definedName>
    <definedName name="solver_adj1" localSheetId="0" hidden="1">model!$B$20:$B$24</definedName>
    <definedName name="solver_cha" localSheetId="0" hidden="1">0</definedName>
    <definedName name="solver_chc1" localSheetId="0" hidden="1">0</definedName>
    <definedName name="solver_chc2" localSheetId="0" hidden="1">0</definedName>
    <definedName name="solver_chc3" localSheetId="0" hidden="1">0</definedName>
    <definedName name="solver_chc4" localSheetId="0" hidden="1">0</definedName>
    <definedName name="solver_chc5" localSheetId="0" hidden="1">0</definedName>
    <definedName name="solver_chn" localSheetId="0" hidden="1">4</definedName>
    <definedName name="solver_chp1" localSheetId="0" hidden="1">0</definedName>
    <definedName name="solver_chp2" localSheetId="0" hidden="1">0</definedName>
    <definedName name="solver_chp3" localSheetId="0" hidden="1">0</definedName>
    <definedName name="solver_chp4" localSheetId="0" hidden="1">0</definedName>
    <definedName name="solver_chp5" localSheetId="0" hidden="1">0</definedName>
    <definedName name="solver_cht" localSheetId="0" hidden="1">0</definedName>
    <definedName name="solver_cir1" localSheetId="0" hidden="1">1</definedName>
    <definedName name="solver_cir2" localSheetId="0" hidden="1">1</definedName>
    <definedName name="solver_cir3" localSheetId="0" hidden="1">1</definedName>
    <definedName name="solver_cir4" localSheetId="0" hidden="1">1</definedName>
    <definedName name="solver_cir5" localSheetId="0" hidden="1">1</definedName>
    <definedName name="solver_con" localSheetId="0" hidden="1">" "</definedName>
    <definedName name="solver_con1" localSheetId="0" hidden="1">" "</definedName>
    <definedName name="solver_con2" localSheetId="0" hidden="1">" "</definedName>
    <definedName name="solver_con3" localSheetId="0" hidden="1">" "</definedName>
    <definedName name="solver_con4" localSheetId="0" hidden="1">" "</definedName>
    <definedName name="solver_con5" localSheetId="0" hidden="1">" "</definedName>
    <definedName name="solver_corr" hidden="1">1</definedName>
    <definedName name="solver_ctp1" hidden="1">0</definedName>
    <definedName name="solver_ctp2" hidden="1">0</definedName>
    <definedName name="solver_cvg" localSheetId="0" hidden="1">0.0001</definedName>
    <definedName name="solver_dia" localSheetId="0" hidden="1">5</definedName>
    <definedName name="solver_disp" hidden="1">0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eval" hidden="1">0</definedName>
    <definedName name="solver_iao" localSheetId="0" hidden="1">0</definedName>
    <definedName name="solver_int" localSheetId="0" hidden="1">0</definedName>
    <definedName name="solver_irs" localSheetId="0" hidden="1">0</definedName>
    <definedName name="solver_ism" localSheetId="0" hidden="1">0</definedName>
    <definedName name="solver_itr" localSheetId="0" hidden="1">2147483647</definedName>
    <definedName name="solver_lcens" hidden="1">-1E+30</definedName>
    <definedName name="solver_lcut" hidden="1">-1E+30</definedName>
    <definedName name="solver_lhs_ob1" localSheetId="0" hidden="1">0</definedName>
    <definedName name="solver_lhs_ob2" localSheetId="0" hidden="1">0</definedName>
    <definedName name="solver_lhs_ob3" localSheetId="0" hidden="1">0</definedName>
    <definedName name="solver_lhs_ob4" localSheetId="0" hidden="1">0</definedName>
    <definedName name="solver_lhs_ob5" localSheetId="0" hidden="1">0</definedName>
    <definedName name="solver_lhs1" localSheetId="0" hidden="1">model!$B$20:$B$24</definedName>
    <definedName name="solver_lhs2" localSheetId="0" hidden="1">model!$C$8:$C$17</definedName>
    <definedName name="solver_lhs3" localSheetId="0" hidden="1">model!$C$8:$C$17</definedName>
    <definedName name="solver_lhs4" localSheetId="0" hidden="1">model!$C$8:$C$17</definedName>
    <definedName name="solver_lhs5" localSheetId="0" hidden="1">model!$G$20:$G$25</definedName>
    <definedName name="solver_lhs6" localSheetId="0" hidden="1">model!$G$20:$G$25</definedName>
    <definedName name="solver_mda" localSheetId="0" hidden="1">4</definedName>
    <definedName name="solver_mip" localSheetId="0" hidden="1">2147483647</definedName>
    <definedName name="solver_mni" localSheetId="0" hidden="1">30</definedName>
    <definedName name="solver_mod" localSheetId="0" hidden="1">3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sim" hidden="1">1</definedName>
    <definedName name="solver_ntr" localSheetId="0" hidden="1">0</definedName>
    <definedName name="solver_ntri" hidden="1">1000</definedName>
    <definedName name="solver_num" localSheetId="0" hidden="1">5</definedName>
    <definedName name="solver_nwt" localSheetId="0" hidden="1">1</definedName>
    <definedName name="solver_obc" localSheetId="0" hidden="1">0</definedName>
    <definedName name="solver_obp" localSheetId="0" hidden="1">0</definedName>
    <definedName name="solver_opt" localSheetId="0" hidden="1">model!$F$5</definedName>
    <definedName name="solver_opt_ob" localSheetId="0" hidden="1">1</definedName>
    <definedName name="solver_pre" localSheetId="0" hidden="1">0.000001</definedName>
    <definedName name="solver_psi" localSheetId="0" hidden="1">0</definedName>
    <definedName name="solver_rbv" localSheetId="0" hidden="1">2</definedName>
    <definedName name="solver_rdp" localSheetId="0" hidden="1">0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2</definedName>
    <definedName name="solver_rel6" localSheetId="0" hidden="1">2</definedName>
    <definedName name="solver_rgen" hidden="1">1</definedName>
    <definedName name="solver_rhs1" localSheetId="0" hidden="1">0</definedName>
    <definedName name="solver_rhs2" localSheetId="0" hidden="1">model!$G$2</definedName>
    <definedName name="solver_rhs3" localSheetId="0" hidden="1">model!$J$8:$J$17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lx" localSheetId="0" hidden="1">2</definedName>
    <definedName name="solver_rsd" localSheetId="0" hidden="1">0</definedName>
    <definedName name="solver_rsmp" hidden="1">2</definedName>
    <definedName name="solver_rtr" localSheetId="0" hidden="1">0</definedName>
    <definedName name="solver_rxc1" localSheetId="0" hidden="1">1</definedName>
    <definedName name="solver_rxc2" localSheetId="0" hidden="1">1</definedName>
    <definedName name="solver_rxc3" localSheetId="0" hidden="1">1</definedName>
    <definedName name="solver_rxc4" localSheetId="0" hidden="1">1</definedName>
    <definedName name="solver_rxc5" localSheetId="0" hidden="1">1</definedName>
    <definedName name="solver_rxv" localSheetId="0" hidden="1">1</definedName>
    <definedName name="solver_rxv1" localSheetId="0" hidden="1">1</definedName>
    <definedName name="solver_scl" localSheetId="0" hidden="1">2</definedName>
    <definedName name="solver_seed" hidden="1">0</definedName>
    <definedName name="solver_sel" localSheetId="0" hidden="1">1</definedName>
    <definedName name="solver_sho" localSheetId="0" hidden="1">2</definedName>
    <definedName name="solver_slv" localSheetId="0" hidden="1">0</definedName>
    <definedName name="solver_slvu" localSheetId="0" hidden="1">0</definedName>
    <definedName name="solver_ssz" localSheetId="0" hidden="1">0</definedName>
    <definedName name="solver_stat" hidden="1">2</definedName>
    <definedName name="solver_strm" hidden="1">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ucens" hidden="1">1E+30</definedName>
    <definedName name="solver_ucut" hidden="1">1E+30</definedName>
    <definedName name="solver_umod" localSheetId="0" hidden="1">1</definedName>
    <definedName name="solver_urs" localSheetId="0" hidden="1">0</definedName>
    <definedName name="solver_val" localSheetId="0" hidden="1">0</definedName>
    <definedName name="solver_var" localSheetId="0" hidden="1">" "</definedName>
    <definedName name="solver_var1" localSheetId="0" hidden="1">" "</definedName>
    <definedName name="solver_ver" localSheetId="0" hidden="1">3</definedName>
    <definedName name="solver_vir" localSheetId="0" hidden="1">1</definedName>
    <definedName name="solver_vir1" localSheetId="0" hidden="1">1</definedName>
    <definedName name="solver_vol" localSheetId="0" hidden="1">0</definedName>
    <definedName name="solver_vst" localSheetId="0" hidden="1">0</definedName>
    <definedName name="solver_vst1" localSheetId="0" hidden="1">0</definedName>
    <definedName name="With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25" l="1"/>
  <c r="B4" i="125"/>
  <c r="B5" i="125"/>
  <c r="B2" i="125"/>
  <c r="G15" i="125" l="1"/>
  <c r="G13" i="125"/>
  <c r="G11" i="125"/>
  <c r="G9" i="125"/>
  <c r="H8" i="125"/>
  <c r="F17" i="125" l="1"/>
  <c r="F16" i="125"/>
  <c r="F15" i="125"/>
  <c r="J15" i="125" s="1"/>
  <c r="F14" i="125"/>
  <c r="F13" i="125"/>
  <c r="F12" i="125"/>
  <c r="F11" i="125"/>
  <c r="F10" i="125"/>
  <c r="F9" i="125"/>
  <c r="F8" i="125"/>
  <c r="F25" i="125"/>
  <c r="E25" i="125"/>
  <c r="F24" i="125"/>
  <c r="E24" i="125"/>
  <c r="E23" i="125"/>
  <c r="F22" i="125"/>
  <c r="E22" i="125"/>
  <c r="F21" i="125"/>
  <c r="E21" i="125"/>
  <c r="F20" i="125"/>
  <c r="F23" i="125"/>
  <c r="E12" i="125"/>
  <c r="G10" i="125"/>
  <c r="G12" i="125"/>
  <c r="G14" i="125"/>
  <c r="G16" i="125"/>
  <c r="G17" i="125"/>
  <c r="G8" i="125"/>
  <c r="E17" i="125"/>
  <c r="E16" i="125"/>
  <c r="E15" i="125"/>
  <c r="E14" i="125"/>
  <c r="E13" i="125"/>
  <c r="E11" i="125"/>
  <c r="E9" i="125"/>
  <c r="E8" i="125"/>
  <c r="F5" i="125" l="1"/>
  <c r="J14" i="125"/>
  <c r="G25" i="125"/>
  <c r="G23" i="125"/>
  <c r="J8" i="125"/>
  <c r="J16" i="125"/>
  <c r="J11" i="125"/>
  <c r="E20" i="125"/>
  <c r="G20" i="125" s="1"/>
  <c r="G22" i="125"/>
  <c r="J9" i="125"/>
  <c r="J13" i="125"/>
  <c r="J17" i="125"/>
  <c r="J12" i="125"/>
  <c r="G21" i="125"/>
  <c r="G24" i="125"/>
  <c r="E10" i="125"/>
  <c r="J10" i="1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tc={0F772E02-2923-46C7-9928-7ABDC7B15AF1}</author>
    <author>tc={EDBFA4E8-7D29-4B09-AF20-EC801CD0B36B}</author>
    <author>tc={1F1F22AE-69AB-46DE-9A27-DDEC6D4174DA}</author>
    <author>tc={EB4F227D-9738-49F4-BD41-667375363CDE}</author>
    <author>tc={ACF92B89-3674-4693-8CE3-E1C5343C2842}</author>
  </authors>
  <commentList>
    <comment ref="F5" authorId="0" shapeId="0" xr:uid="{0F772E02-2923-46C7-9928-7ABDC7B15AF1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Objective function</t>
        </r>
      </text>
    </comment>
    <comment ref="B6" authorId="1" shapeId="0" xr:uid="{EDBFA4E8-7D29-4B09-AF20-EC801CD0B36B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Set the frequency to be a very large number</t>
        </r>
      </text>
    </comment>
    <comment ref="C8" authorId="2" shapeId="0" xr:uid="{1F1F22AE-69AB-46DE-9A27-DDEC6D4174DA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Decision Varibles</t>
        </r>
      </text>
    </comment>
    <comment ref="E19" authorId="3" shapeId="0" xr:uid="{EB4F227D-9738-49F4-BD41-667375363CDE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Constraints</t>
        </r>
      </text>
    </comment>
    <comment ref="B20" authorId="4" shapeId="0" xr:uid="{ACF92B89-3674-4693-8CE3-E1C5343C284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Decision Variables</t>
        </r>
      </text>
    </comment>
  </commentList>
</comments>
</file>

<file path=xl/sharedStrings.xml><?xml version="1.0" encoding="utf-8"?>
<sst xmlns="http://schemas.openxmlformats.org/spreadsheetml/2006/main" count="35" uniqueCount="35">
  <si>
    <t>Y</t>
  </si>
  <si>
    <t>A</t>
  </si>
  <si>
    <t>D</t>
  </si>
  <si>
    <t>out</t>
  </si>
  <si>
    <t>in</t>
  </si>
  <si>
    <t xml:space="preserve">Frequency </t>
  </si>
  <si>
    <t>Cost</t>
  </si>
  <si>
    <t xml:space="preserve">Nodes </t>
  </si>
  <si>
    <t>X_2</t>
  </si>
  <si>
    <t>X</t>
  </si>
  <si>
    <t>Y_3</t>
  </si>
  <si>
    <t>w_i</t>
  </si>
  <si>
    <t>Objective</t>
  </si>
  <si>
    <t>Waiting time</t>
  </si>
  <si>
    <t>Demand</t>
  </si>
  <si>
    <t>Variables for link volum</t>
  </si>
  <si>
    <t>Frequency</t>
  </si>
  <si>
    <t>fre*wi</t>
  </si>
  <si>
    <t>Line Id</t>
  </si>
  <si>
    <t>G1</t>
  </si>
  <si>
    <t>G2</t>
  </si>
  <si>
    <t>G3</t>
  </si>
  <si>
    <t>G4</t>
  </si>
  <si>
    <t>A-&gt;B</t>
  </si>
  <si>
    <t>A-&gt;X2</t>
  </si>
  <si>
    <t>X2-&gt;Y</t>
  </si>
  <si>
    <t>Y-&gt;B</t>
  </si>
  <si>
    <t>X-&gt;Y3</t>
  </si>
  <si>
    <t>Y3-&gt;B</t>
  </si>
  <si>
    <t>X-&gt;X2</t>
  </si>
  <si>
    <t>X2-&gt;X</t>
  </si>
  <si>
    <t>Y-&gt;Y3</t>
  </si>
  <si>
    <t>Y3-&gt;Y</t>
  </si>
  <si>
    <t>Travel cost * flow</t>
  </si>
  <si>
    <t>Node w_i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</si>
</sst>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Fill="1"/>
    <xf numFmtId="2" fontId="0" fillId="0" borderId="0" xfId="0" applyNumberFormat="1"/>
    <xf numFmtId="0" fontId="0" fillId="0" borderId="2" xfId="0" applyBorder="1"/>
    <xf numFmtId="0" fontId="1" fillId="0" borderId="0" xfId="0" applyFont="1" applyAlignment="1">
      <alignment horizontal="right"/>
    </xf>
    <xf numFmtId="0" fontId="0" fillId="0" borderId="3" xfId="0" applyBorder="1"/>
    <xf numFmtId="0" fontId="0" fillId="0" borderId="1" xfId="0" applyBorder="1"/>
    <xf numFmtId="2" fontId="0" fillId="2" borderId="0" xfId="0" applyNumberFormat="1" applyFill="1"/>
    <xf numFmtId="0" fontId="0" fillId="3" borderId="0" xfId="0" applyFill="1"/>
    <xf numFmtId="0" fontId="0" fillId="4" borderId="0" xfId="0" applyFill="1"/>
    <xf numFmtId="0" fontId="0" fillId="3" borderId="1" xfId="0" applyFill="1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170" fontId="0" fillId="4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111624</xdr:rowOff>
    </xdr:from>
    <xdr:to>
      <xdr:col>5</xdr:col>
      <xdr:colOff>746339</xdr:colOff>
      <xdr:row>37</xdr:row>
      <xdr:rowOff>168038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74124"/>
          <a:ext cx="5457404" cy="2041424"/>
        </a:xfrm>
        <a:prstGeom prst="rect">
          <a:avLst/>
        </a:prstGeom>
      </xdr:spPr>
    </xdr:pic>
    <xdr:clientData/>
  </xdr:twoCellAnchor>
  <xdr:twoCellAnchor editAs="oneCell">
    <xdr:from>
      <xdr:col>5</xdr:col>
      <xdr:colOff>454222</xdr:colOff>
      <xdr:row>26</xdr:row>
      <xdr:rowOff>53340</xdr:rowOff>
    </xdr:from>
    <xdr:to>
      <xdr:col>13</xdr:col>
      <xdr:colOff>40040</xdr:colOff>
      <xdr:row>39</xdr:row>
      <xdr:rowOff>95355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3A0D9C-5A5D-4751-880A-3BE8EBC12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59572" y="4815840"/>
          <a:ext cx="5491318" cy="2387070"/>
        </a:xfrm>
        <a:prstGeom prst="rect">
          <a:avLst/>
        </a:prstGeom>
      </xdr:spPr>
    </xdr:pic>
    <xdr:clientData/>
  </xdr:twoCellAnchor>
  <xdr:twoCellAnchor editAs="oneCell">
    <xdr:from>
      <xdr:col>12</xdr:col>
      <xdr:colOff>257175</xdr:colOff>
      <xdr:row>19</xdr:row>
      <xdr:rowOff>81915</xdr:rowOff>
    </xdr:from>
    <xdr:to>
      <xdr:col>16</xdr:col>
      <xdr:colOff>574967</xdr:colOff>
      <xdr:row>41</xdr:row>
      <xdr:rowOff>58560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7554F82-2128-425B-9BAF-E66E5C19E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58425" y="3577590"/>
          <a:ext cx="2756192" cy="395809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U JIANG" id="{654A52A4-E21C-4E7D-88FA-D64388F1D300}" userId="b65daf0cb38b945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5" dT="2019-02-17T11:42:00.74" personId="{654A52A4-E21C-4E7D-88FA-D64388F1D300}" id="{0F772E02-2923-46C7-9928-7ABDC7B15AF1}">
    <text>Objective function</text>
  </threadedComment>
  <threadedComment ref="B6" dT="2019-02-17T11:40:54.97" personId="{654A52A4-E21C-4E7D-88FA-D64388F1D300}" id="{EDBFA4E8-7D29-4B09-AF20-EC801CD0B36B}">
    <text>Set the frequency to be a very large number</text>
  </threadedComment>
  <threadedComment ref="C8" dT="2019-02-17T11:42:20.30" personId="{654A52A4-E21C-4E7D-88FA-D64388F1D300}" id="{1F1F22AE-69AB-46DE-9A27-DDEC6D4174DA}">
    <text>Decision Varibles</text>
  </threadedComment>
  <threadedComment ref="E19" dT="2019-02-17T11:43:10.30" personId="{654A52A4-E21C-4E7D-88FA-D64388F1D300}" id="{EB4F227D-9738-49F4-BD41-667375363CDE}">
    <text>Constraints</text>
  </threadedComment>
  <threadedComment ref="B20" dT="2019-02-17T11:42:33.50" personId="{654A52A4-E21C-4E7D-88FA-D64388F1D300}" id="{ACF92B89-3674-4693-8CE3-E1C5343C2842}">
    <text>Decision Variables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P26"/>
  <sheetViews>
    <sheetView tabSelected="1" zoomScaleNormal="100" workbookViewId="0">
      <selection activeCell="C2" sqref="C2"/>
    </sheetView>
  </sheetViews>
  <sheetFormatPr defaultRowHeight="15" x14ac:dyDescent="0.25"/>
  <cols>
    <col min="2" max="2" width="12" bestFit="1" customWidth="1"/>
    <col min="5" max="5" width="30" customWidth="1"/>
    <col min="6" max="6" width="15" customWidth="1"/>
    <col min="7" max="7" width="16.85546875" customWidth="1"/>
    <col min="10" max="10" width="9.7109375" bestFit="1" customWidth="1"/>
  </cols>
  <sheetData>
    <row r="1" spans="1:16" s="8" customFormat="1" ht="15.75" thickBot="1" x14ac:dyDescent="0.3">
      <c r="A1" s="8" t="s">
        <v>18</v>
      </c>
      <c r="B1" s="8" t="s">
        <v>5</v>
      </c>
    </row>
    <row r="2" spans="1:16" ht="15.75" thickBot="1" x14ac:dyDescent="0.3">
      <c r="A2" t="s">
        <v>19</v>
      </c>
      <c r="B2" s="2">
        <f>C2/60</f>
        <v>0.23533333333333331</v>
      </c>
      <c r="C2">
        <v>14.12</v>
      </c>
      <c r="F2" s="5" t="s">
        <v>14</v>
      </c>
      <c r="G2" s="3">
        <v>1</v>
      </c>
    </row>
    <row r="3" spans="1:16" x14ac:dyDescent="0.25">
      <c r="A3" t="s">
        <v>20</v>
      </c>
      <c r="B3" s="2">
        <f t="shared" ref="B3:B5" si="0">C3/60</f>
        <v>0.24983333333333332</v>
      </c>
      <c r="C3">
        <v>14.99</v>
      </c>
      <c r="P3">
        <v>14.1255374223913</v>
      </c>
    </row>
    <row r="4" spans="1:16" x14ac:dyDescent="0.25">
      <c r="A4" t="s">
        <v>21</v>
      </c>
      <c r="B4" s="2">
        <f t="shared" si="0"/>
        <v>0.24933333333333335</v>
      </c>
      <c r="C4">
        <v>14.96</v>
      </c>
      <c r="P4">
        <v>14.9937091147688</v>
      </c>
    </row>
    <row r="5" spans="1:16" x14ac:dyDescent="0.25">
      <c r="A5" t="s">
        <v>22</v>
      </c>
      <c r="B5" s="2">
        <f t="shared" si="0"/>
        <v>8.3333333333333329E-2</v>
      </c>
      <c r="C5">
        <v>5</v>
      </c>
      <c r="E5" s="9" t="s">
        <v>12</v>
      </c>
      <c r="F5" s="13">
        <f>SUM(G8:G17)+H8</f>
        <v>23.01336563279618</v>
      </c>
      <c r="P5">
        <v>14.961336941840599</v>
      </c>
    </row>
    <row r="6" spans="1:16" ht="15.75" thickBot="1" x14ac:dyDescent="0.3">
      <c r="A6" s="4" t="s">
        <v>2</v>
      </c>
      <c r="B6">
        <v>1000000</v>
      </c>
      <c r="P6">
        <v>5.8672652726556702</v>
      </c>
    </row>
    <row r="7" spans="1:16" s="6" customFormat="1" ht="15.75" thickBot="1" x14ac:dyDescent="0.3">
      <c r="A7" s="5" t="s">
        <v>15</v>
      </c>
      <c r="D7" s="6" t="s">
        <v>6</v>
      </c>
      <c r="E7" s="6" t="s">
        <v>16</v>
      </c>
      <c r="F7" s="6" t="s">
        <v>34</v>
      </c>
      <c r="G7" s="6" t="s">
        <v>33</v>
      </c>
      <c r="H7" s="6" t="s">
        <v>13</v>
      </c>
      <c r="J7" s="6" t="s">
        <v>17</v>
      </c>
    </row>
    <row r="8" spans="1:16" x14ac:dyDescent="0.25">
      <c r="A8" s="11" t="s">
        <v>23</v>
      </c>
      <c r="B8" s="11"/>
      <c r="C8" s="7">
        <v>0</v>
      </c>
      <c r="D8">
        <v>25</v>
      </c>
      <c r="E8" s="2">
        <f>B2</f>
        <v>0.23533333333333331</v>
      </c>
      <c r="F8" s="2">
        <f>B20</f>
        <v>4.0026684456304196</v>
      </c>
      <c r="G8">
        <f>C8*D8</f>
        <v>0</v>
      </c>
      <c r="H8" s="2">
        <f>SUM(B20:B24)</f>
        <v>8.0133656327961891</v>
      </c>
      <c r="J8" s="2">
        <f>E8*F8</f>
        <v>0.94196130753835861</v>
      </c>
      <c r="K8">
        <v>1</v>
      </c>
    </row>
    <row r="9" spans="1:16" x14ac:dyDescent="0.25">
      <c r="A9" s="12" t="s">
        <v>24</v>
      </c>
      <c r="B9" s="12"/>
      <c r="C9" s="7">
        <v>0.99999999999999967</v>
      </c>
      <c r="D9">
        <v>7</v>
      </c>
      <c r="E9" s="2">
        <f>B3</f>
        <v>0.24983333333333332</v>
      </c>
      <c r="F9" s="2">
        <f>B20</f>
        <v>4.0026684456304196</v>
      </c>
      <c r="G9">
        <f>C9*D9</f>
        <v>6.9999999999999973</v>
      </c>
      <c r="J9" s="2">
        <f t="shared" ref="J9:J17" si="1">E9*F9</f>
        <v>0.99999999999999978</v>
      </c>
      <c r="K9">
        <v>2</v>
      </c>
    </row>
    <row r="10" spans="1:16" x14ac:dyDescent="0.25">
      <c r="A10" s="12" t="s">
        <v>25</v>
      </c>
      <c r="B10" s="12"/>
      <c r="C10" s="7">
        <v>0</v>
      </c>
      <c r="D10">
        <v>6</v>
      </c>
      <c r="E10" s="2">
        <f>B6</f>
        <v>1000000</v>
      </c>
      <c r="F10" s="2">
        <f>B21</f>
        <v>9.9999999999999974E-7</v>
      </c>
      <c r="G10">
        <f t="shared" ref="G10:G17" si="2">C10*D10</f>
        <v>0</v>
      </c>
      <c r="J10" s="2">
        <f t="shared" si="1"/>
        <v>0.99999999999999978</v>
      </c>
      <c r="K10">
        <v>3</v>
      </c>
    </row>
    <row r="11" spans="1:16" x14ac:dyDescent="0.25">
      <c r="A11" s="12" t="s">
        <v>26</v>
      </c>
      <c r="B11" s="12"/>
      <c r="C11" s="7">
        <v>0</v>
      </c>
      <c r="D11">
        <v>10</v>
      </c>
      <c r="E11" s="2">
        <f>B5</f>
        <v>8.3333333333333329E-2</v>
      </c>
      <c r="F11" s="2">
        <f>B22</f>
        <v>0</v>
      </c>
      <c r="G11">
        <f>C11*D11</f>
        <v>0</v>
      </c>
      <c r="J11" s="2">
        <f t="shared" si="1"/>
        <v>0</v>
      </c>
      <c r="K11">
        <v>4</v>
      </c>
    </row>
    <row r="12" spans="1:16" x14ac:dyDescent="0.25">
      <c r="A12" s="12" t="s">
        <v>30</v>
      </c>
      <c r="B12" s="12"/>
      <c r="C12" s="7">
        <v>0.99999999999999933</v>
      </c>
      <c r="D12">
        <v>0</v>
      </c>
      <c r="E12" s="2">
        <f>B6</f>
        <v>1000000</v>
      </c>
      <c r="F12" s="2">
        <f>B21</f>
        <v>9.9999999999999974E-7</v>
      </c>
      <c r="G12">
        <f t="shared" si="2"/>
        <v>0</v>
      </c>
      <c r="J12" s="2">
        <f t="shared" si="1"/>
        <v>0.99999999999999978</v>
      </c>
      <c r="K12">
        <v>5</v>
      </c>
    </row>
    <row r="13" spans="1:16" x14ac:dyDescent="0.25">
      <c r="A13" s="12" t="s">
        <v>29</v>
      </c>
      <c r="B13" s="12"/>
      <c r="C13" s="7">
        <v>0</v>
      </c>
      <c r="D13">
        <v>0</v>
      </c>
      <c r="E13" s="2">
        <f>B3</f>
        <v>0.24983333333333332</v>
      </c>
      <c r="F13" s="2">
        <f>B23</f>
        <v>4.010695187165771</v>
      </c>
      <c r="G13">
        <f>C13*D13</f>
        <v>0</v>
      </c>
      <c r="J13" s="2">
        <f t="shared" si="1"/>
        <v>1.0020053475935817</v>
      </c>
      <c r="K13">
        <v>6</v>
      </c>
    </row>
    <row r="14" spans="1:16" x14ac:dyDescent="0.25">
      <c r="A14" s="12" t="s">
        <v>31</v>
      </c>
      <c r="B14" s="12"/>
      <c r="C14" s="7">
        <v>0</v>
      </c>
      <c r="D14">
        <v>0</v>
      </c>
      <c r="E14" s="2">
        <f>B4</f>
        <v>0.24933333333333335</v>
      </c>
      <c r="F14" s="2">
        <f>B22</f>
        <v>0</v>
      </c>
      <c r="G14">
        <f t="shared" si="2"/>
        <v>0</v>
      </c>
      <c r="J14" s="2">
        <f t="shared" si="1"/>
        <v>0</v>
      </c>
      <c r="K14">
        <v>7</v>
      </c>
    </row>
    <row r="15" spans="1:16" x14ac:dyDescent="0.25">
      <c r="A15" s="12" t="s">
        <v>32</v>
      </c>
      <c r="B15" s="12"/>
      <c r="C15" s="7">
        <v>0</v>
      </c>
      <c r="D15">
        <v>0</v>
      </c>
      <c r="E15" s="2">
        <f>B6</f>
        <v>1000000</v>
      </c>
      <c r="F15" s="2">
        <f>B24</f>
        <v>9.9999999985187104E-7</v>
      </c>
      <c r="G15">
        <f>C15*D15</f>
        <v>0</v>
      </c>
      <c r="J15" s="2">
        <f t="shared" si="1"/>
        <v>0.99999999985187105</v>
      </c>
      <c r="K15">
        <v>8</v>
      </c>
    </row>
    <row r="16" spans="1:16" x14ac:dyDescent="0.25">
      <c r="A16" s="12" t="s">
        <v>27</v>
      </c>
      <c r="B16" s="12"/>
      <c r="C16" s="7">
        <v>0.99999999999999933</v>
      </c>
      <c r="D16">
        <v>4</v>
      </c>
      <c r="E16" s="2">
        <f>B4</f>
        <v>0.24933333333333335</v>
      </c>
      <c r="F16" s="2">
        <f>B23</f>
        <v>4.010695187165771</v>
      </c>
      <c r="G16">
        <f t="shared" si="2"/>
        <v>3.9999999999999973</v>
      </c>
      <c r="J16" s="2">
        <f t="shared" si="1"/>
        <v>0.999999999999999</v>
      </c>
      <c r="K16">
        <v>9</v>
      </c>
    </row>
    <row r="17" spans="1:11" x14ac:dyDescent="0.25">
      <c r="A17" s="12" t="s">
        <v>28</v>
      </c>
      <c r="B17" s="12"/>
      <c r="C17" s="7">
        <v>0.99999999999999967</v>
      </c>
      <c r="D17">
        <v>4</v>
      </c>
      <c r="E17" s="2">
        <f>B6</f>
        <v>1000000</v>
      </c>
      <c r="F17" s="2">
        <f>B24</f>
        <v>9.9999999985187104E-7</v>
      </c>
      <c r="G17">
        <f t="shared" si="2"/>
        <v>3.9999999999999987</v>
      </c>
      <c r="J17" s="2">
        <f t="shared" si="1"/>
        <v>0.99999999985187105</v>
      </c>
      <c r="K17">
        <v>10</v>
      </c>
    </row>
    <row r="18" spans="1:11" ht="15.75" thickBot="1" x14ac:dyDescent="0.3"/>
    <row r="19" spans="1:11" s="6" customFormat="1" ht="15.75" thickBot="1" x14ac:dyDescent="0.3">
      <c r="A19" s="5" t="s">
        <v>7</v>
      </c>
      <c r="B19" s="6" t="s">
        <v>11</v>
      </c>
      <c r="E19" s="10" t="s">
        <v>4</v>
      </c>
      <c r="F19" s="10" t="s">
        <v>3</v>
      </c>
    </row>
    <row r="20" spans="1:11" x14ac:dyDescent="0.25">
      <c r="A20" t="s">
        <v>1</v>
      </c>
      <c r="B20" s="7">
        <v>4.0026684456304196</v>
      </c>
      <c r="E20">
        <f>G2</f>
        <v>1</v>
      </c>
      <c r="F20">
        <f>C8+C9</f>
        <v>0.99999999999999967</v>
      </c>
      <c r="G20">
        <f>E20-F20</f>
        <v>0</v>
      </c>
    </row>
    <row r="21" spans="1:11" x14ac:dyDescent="0.25">
      <c r="A21" t="s">
        <v>8</v>
      </c>
      <c r="B21" s="7">
        <v>9.9999999999999974E-7</v>
      </c>
      <c r="E21">
        <f>C9+C13</f>
        <v>0.99999999999999967</v>
      </c>
      <c r="F21">
        <f>C10+C12</f>
        <v>0.99999999999999933</v>
      </c>
      <c r="G21">
        <f t="shared" ref="G21:G25" si="3">E21-F21</f>
        <v>0</v>
      </c>
    </row>
    <row r="22" spans="1:11" x14ac:dyDescent="0.25">
      <c r="A22" t="s">
        <v>0</v>
      </c>
      <c r="B22" s="7">
        <v>0</v>
      </c>
      <c r="E22">
        <f>C15+C10</f>
        <v>0</v>
      </c>
      <c r="F22">
        <f>C11+C14</f>
        <v>0</v>
      </c>
      <c r="G22">
        <f t="shared" si="3"/>
        <v>0</v>
      </c>
    </row>
    <row r="23" spans="1:11" x14ac:dyDescent="0.25">
      <c r="A23" t="s">
        <v>9</v>
      </c>
      <c r="B23" s="7">
        <v>4.010695187165771</v>
      </c>
      <c r="E23">
        <f>C8+C11+C17</f>
        <v>0.99999999999999967</v>
      </c>
      <c r="F23">
        <f>G2</f>
        <v>1</v>
      </c>
      <c r="G23">
        <f t="shared" si="3"/>
        <v>0</v>
      </c>
    </row>
    <row r="24" spans="1:11" x14ac:dyDescent="0.25">
      <c r="A24" t="s">
        <v>10</v>
      </c>
      <c r="B24" s="7">
        <v>9.9999999985187104E-7</v>
      </c>
      <c r="E24">
        <f>C12</f>
        <v>0.99999999999999933</v>
      </c>
      <c r="F24">
        <f>C13+C16</f>
        <v>0.99999999999999933</v>
      </c>
      <c r="G24">
        <f t="shared" si="3"/>
        <v>0</v>
      </c>
    </row>
    <row r="25" spans="1:11" x14ac:dyDescent="0.25">
      <c r="E25">
        <f>C14+C16</f>
        <v>0.99999999999999933</v>
      </c>
      <c r="F25">
        <f>C15+C17</f>
        <v>0.99999999999999967</v>
      </c>
      <c r="G25">
        <f t="shared" si="3"/>
        <v>0</v>
      </c>
    </row>
    <row r="26" spans="1:11" x14ac:dyDescent="0.25">
      <c r="B26" s="1"/>
    </row>
  </sheetData>
  <mergeCells count="10">
    <mergeCell ref="A17:B17"/>
    <mergeCell ref="A12:B12"/>
    <mergeCell ref="A13:B13"/>
    <mergeCell ref="A14:B14"/>
    <mergeCell ref="A15:B15"/>
    <mergeCell ref="A8:B8"/>
    <mergeCell ref="A9:B9"/>
    <mergeCell ref="A10:B10"/>
    <mergeCell ref="A11:B11"/>
    <mergeCell ref="A16:B16"/>
  </mergeCells>
  <pageMargins left="0.7" right="0.7" top="0.75" bottom="0.75" header="0.3" footer="0.3"/>
  <pageSetup paperSize="9" orientation="portrait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Transport-PC</dc:creator>
  <cp:lastModifiedBy>Yu Jiang</cp:lastModifiedBy>
  <dcterms:created xsi:type="dcterms:W3CDTF">2006-09-16T00:00:00Z</dcterms:created>
  <dcterms:modified xsi:type="dcterms:W3CDTF">2019-03-19T19:38:09Z</dcterms:modified>
</cp:coreProperties>
</file>