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filterPrivacy="1" codeName="ThisWorkbook"/>
  <xr:revisionPtr revIDLastSave="0" documentId="13_ncr:1_{B2094D79-12BB-45A3-A872-E5021525C5F9}" xr6:coauthVersionLast="41" xr6:coauthVersionMax="41" xr10:uidLastSave="{00000000-0000-0000-0000-000000000000}"/>
  <bookViews>
    <workbookView xWindow="-120" yWindow="-120" windowWidth="29040" windowHeight="16440" xr2:uid="{00000000-000D-0000-FFFF-FFFF00000000}"/>
  </bookViews>
  <sheets>
    <sheet name="model_cap" sheetId="4" r:id="rId1"/>
    <sheet name="model" sheetId="2" r:id="rId2"/>
    <sheet name="ex2" sheetId="3" r:id="rId3"/>
    <sheet name="ex4" sheetId="5" r:id="rId4"/>
  </sheets>
  <functionGroups builtInGroupCount="19"/>
  <definedNames>
    <definedName name="Secion_3" localSheetId="0">#REF!</definedName>
    <definedName name="Secion_3">#REF!</definedName>
    <definedName name="Section_1" localSheetId="0">#REF!</definedName>
    <definedName name="Section_1">#REF!</definedName>
    <definedName name="Section_10" localSheetId="0">#REF!</definedName>
    <definedName name="Section_10">#REF!</definedName>
    <definedName name="Section_2" localSheetId="0">#REF!</definedName>
    <definedName name="Section_2">#REF!</definedName>
    <definedName name="Section_3" localSheetId="0">#REF!</definedName>
    <definedName name="Section_3">#REF!</definedName>
    <definedName name="Section_4" localSheetId="0">#REF!</definedName>
    <definedName name="Section_4">#REF!</definedName>
    <definedName name="Section_5" localSheetId="0">#REF!</definedName>
    <definedName name="Section_5">#REF!</definedName>
    <definedName name="Section_6" localSheetId="0">#REF!</definedName>
    <definedName name="Section_6">#REF!</definedName>
    <definedName name="Section_7" localSheetId="0">#REF!</definedName>
    <definedName name="Section_7">#REF!</definedName>
    <definedName name="Section_8" localSheetId="0">#REF!</definedName>
    <definedName name="Section_8">#REF!</definedName>
    <definedName name="Section_9" localSheetId="0">#REF!</definedName>
    <definedName name="Section_9">#REF!</definedName>
    <definedName name="section1" localSheetId="0">#REF!</definedName>
    <definedName name="section1">#REF!</definedName>
    <definedName name="solver_adj" localSheetId="1" hidden="1">model!$C$8:$C$17,model!$B$20:$B$24</definedName>
    <definedName name="solver_adj" localSheetId="0" hidden="1">model_cap!$C$8:$C$17,model_cap!$B$20:$B$24</definedName>
    <definedName name="solver_adj_ob" localSheetId="1" hidden="1">1</definedName>
    <definedName name="solver_adj_ob" localSheetId="0" hidden="1">1</definedName>
    <definedName name="solver_adj_ob1" localSheetId="1" hidden="1">1</definedName>
    <definedName name="solver_adj_ob1" localSheetId="0" hidden="1">1</definedName>
    <definedName name="solver_adj_ob2" localSheetId="1" hidden="1">1</definedName>
    <definedName name="solver_adj_ob2" localSheetId="0" hidden="1">1</definedName>
    <definedName name="solver_adj1" localSheetId="1" hidden="1">model!$B$20:$B$24</definedName>
    <definedName name="solver_adj1" localSheetId="0" hidden="1">model_cap!$B$20:$B$24</definedName>
    <definedName name="solver_cha" localSheetId="1" hidden="1">0</definedName>
    <definedName name="solver_cha" localSheetId="0" hidden="1">0</definedName>
    <definedName name="solver_chc1" localSheetId="1" hidden="1">0</definedName>
    <definedName name="solver_chc1" localSheetId="0" hidden="1">0</definedName>
    <definedName name="solver_chc2" localSheetId="1" hidden="1">0</definedName>
    <definedName name="solver_chc2" localSheetId="0" hidden="1">0</definedName>
    <definedName name="solver_chc3" localSheetId="1" hidden="1">0</definedName>
    <definedName name="solver_chc3" localSheetId="0" hidden="1">0</definedName>
    <definedName name="solver_chc4" localSheetId="1" hidden="1">0</definedName>
    <definedName name="solver_chc4" localSheetId="0" hidden="1">0</definedName>
    <definedName name="solver_chc5" localSheetId="1" hidden="1">0</definedName>
    <definedName name="solver_chc5" localSheetId="0" hidden="1">0</definedName>
    <definedName name="solver_chn" localSheetId="1" hidden="1">4</definedName>
    <definedName name="solver_chn" localSheetId="0" hidden="1">4</definedName>
    <definedName name="solver_chp1" localSheetId="1" hidden="1">0</definedName>
    <definedName name="solver_chp1" localSheetId="0" hidden="1">0</definedName>
    <definedName name="solver_chp2" localSheetId="1" hidden="1">0</definedName>
    <definedName name="solver_chp2" localSheetId="0" hidden="1">0</definedName>
    <definedName name="solver_chp3" localSheetId="1" hidden="1">0</definedName>
    <definedName name="solver_chp3" localSheetId="0" hidden="1">0</definedName>
    <definedName name="solver_chp4" localSheetId="1" hidden="1">0</definedName>
    <definedName name="solver_chp4" localSheetId="0" hidden="1">0</definedName>
    <definedName name="solver_chp5" localSheetId="1" hidden="1">0</definedName>
    <definedName name="solver_chp5" localSheetId="0" hidden="1">0</definedName>
    <definedName name="solver_cht" localSheetId="1" hidden="1">0</definedName>
    <definedName name="solver_cht" localSheetId="0" hidden="1">0</definedName>
    <definedName name="solver_cir1" localSheetId="1" hidden="1">1</definedName>
    <definedName name="solver_cir1" localSheetId="0" hidden="1">1</definedName>
    <definedName name="solver_cir2" localSheetId="1" hidden="1">1</definedName>
    <definedName name="solver_cir2" localSheetId="0" hidden="1">1</definedName>
    <definedName name="solver_cir3" localSheetId="1" hidden="1">1</definedName>
    <definedName name="solver_cir3" localSheetId="0" hidden="1">1</definedName>
    <definedName name="solver_cir4" localSheetId="1" hidden="1">1</definedName>
    <definedName name="solver_cir4" localSheetId="0" hidden="1">1</definedName>
    <definedName name="solver_cir5" localSheetId="1" hidden="1">1</definedName>
    <definedName name="solver_cir5" localSheetId="0" hidden="1">1</definedName>
    <definedName name="solver_con" localSheetId="1" hidden="1">" "</definedName>
    <definedName name="solver_con" localSheetId="0" hidden="1">" "</definedName>
    <definedName name="solver_con1" localSheetId="1" hidden="1">" "</definedName>
    <definedName name="solver_con1" localSheetId="0" hidden="1">" "</definedName>
    <definedName name="solver_con2" localSheetId="1" hidden="1">" "</definedName>
    <definedName name="solver_con2" localSheetId="0" hidden="1">" "</definedName>
    <definedName name="solver_con3" localSheetId="1" hidden="1">" "</definedName>
    <definedName name="solver_con3" localSheetId="0" hidden="1">" "</definedName>
    <definedName name="solver_con4" localSheetId="1" hidden="1">" "</definedName>
    <definedName name="solver_con4" localSheetId="0" hidden="1">" "</definedName>
    <definedName name="solver_con5" localSheetId="1" hidden="1">" "</definedName>
    <definedName name="solver_con5" localSheetId="0" hidden="1">" "</definedName>
    <definedName name="solver_corr" hidden="1">1</definedName>
    <definedName name="solver_ctp1" hidden="1">0</definedName>
    <definedName name="solver_ctp2" hidden="1">0</definedName>
    <definedName name="solver_cvg" localSheetId="1" hidden="1">0.0001</definedName>
    <definedName name="solver_cvg" localSheetId="0" hidden="1">0.0001</definedName>
    <definedName name="solver_dia" localSheetId="1" hidden="1">5</definedName>
    <definedName name="solver_dia" localSheetId="0" hidden="1">5</definedName>
    <definedName name="solver_disp" hidden="1">0</definedName>
    <definedName name="solver_drv" localSheetId="1" hidden="1">1</definedName>
    <definedName name="solver_drv" localSheetId="0" hidden="1">1</definedName>
    <definedName name="solver_eng" localSheetId="1" hidden="1">2</definedName>
    <definedName name="solver_eng" localSheetId="0" hidden="1">2</definedName>
    <definedName name="solver_est" localSheetId="1" hidden="1">1</definedName>
    <definedName name="solver_est" localSheetId="0" hidden="1">1</definedName>
    <definedName name="solver_eval" hidden="1">0</definedName>
    <definedName name="solver_iao" localSheetId="1" hidden="1">0</definedName>
    <definedName name="solver_iao" localSheetId="0" hidden="1">0</definedName>
    <definedName name="solver_int" localSheetId="1" hidden="1">0</definedName>
    <definedName name="solver_int" localSheetId="0" hidden="1">0</definedName>
    <definedName name="solver_irs" localSheetId="1" hidden="1">0</definedName>
    <definedName name="solver_irs" localSheetId="0" hidden="1">0</definedName>
    <definedName name="solver_ism" localSheetId="1" hidden="1">0</definedName>
    <definedName name="solver_ism" localSheetId="0" hidden="1">0</definedName>
    <definedName name="solver_itr" localSheetId="1" hidden="1">2147483647</definedName>
    <definedName name="solver_itr" localSheetId="0" hidden="1">2147483647</definedName>
    <definedName name="solver_lcens" hidden="1">-1E+30</definedName>
    <definedName name="solver_lcut" hidden="1">-1E+30</definedName>
    <definedName name="solver_lhs_ob1" localSheetId="1" hidden="1">0</definedName>
    <definedName name="solver_lhs_ob1" localSheetId="0" hidden="1">0</definedName>
    <definedName name="solver_lhs_ob2" localSheetId="1" hidden="1">0</definedName>
    <definedName name="solver_lhs_ob2" localSheetId="0" hidden="1">0</definedName>
    <definedName name="solver_lhs_ob3" localSheetId="1" hidden="1">0</definedName>
    <definedName name="solver_lhs_ob3" localSheetId="0" hidden="1">0</definedName>
    <definedName name="solver_lhs_ob4" localSheetId="1" hidden="1">0</definedName>
    <definedName name="solver_lhs_ob4" localSheetId="0" hidden="1">0</definedName>
    <definedName name="solver_lhs_ob5" localSheetId="1" hidden="1">0</definedName>
    <definedName name="solver_lhs_ob5" localSheetId="0" hidden="1">0</definedName>
    <definedName name="solver_lhs1" localSheetId="1" hidden="1">model!$C$8:$C$17</definedName>
    <definedName name="solver_lhs1" localSheetId="0" hidden="1">model_cap!$C$8:$C$17</definedName>
    <definedName name="solver_lhs2" localSheetId="1" hidden="1">model!$G$20:$G$25</definedName>
    <definedName name="solver_lhs2" localSheetId="0" hidden="1">model_cap!$G$20:$G$25</definedName>
    <definedName name="solver_lhs3" localSheetId="1" hidden="1">model!$C$8:$C$17</definedName>
    <definedName name="solver_lhs3" localSheetId="0" hidden="1">model_cap!$C$8:$C$17</definedName>
    <definedName name="solver_lhs4" localSheetId="1" hidden="1">model!$B$20:$B$24</definedName>
    <definedName name="solver_lhs4" localSheetId="0" hidden="1">model_cap!$B$20:$B$24</definedName>
    <definedName name="solver_lhs5" localSheetId="1" hidden="1">model!$B$20:$B$24</definedName>
    <definedName name="solver_lhs5" localSheetId="0" hidden="1">model_cap!$B$20:$B$24</definedName>
    <definedName name="solver_lhs6" localSheetId="1" hidden="1">model!$G$20:$G$25</definedName>
    <definedName name="solver_lhs6" localSheetId="0" hidden="1">model_cap!$G$20:$G$25</definedName>
    <definedName name="solver_mda" localSheetId="1" hidden="1">4</definedName>
    <definedName name="solver_mda" localSheetId="0" hidden="1">4</definedName>
    <definedName name="solver_mip" localSheetId="1" hidden="1">2147483647</definedName>
    <definedName name="solver_mip" localSheetId="0" hidden="1">2147483647</definedName>
    <definedName name="solver_mni" localSheetId="1" hidden="1">30</definedName>
    <definedName name="solver_mni" localSheetId="0" hidden="1">30</definedName>
    <definedName name="solver_mod" localSheetId="1" hidden="1">3</definedName>
    <definedName name="solver_mod" localSheetId="0" hidden="1">3</definedName>
    <definedName name="solver_mrt" localSheetId="1" hidden="1">0.075</definedName>
    <definedName name="solver_mrt" localSheetId="0" hidden="1">0.075</definedName>
    <definedName name="solver_msl" localSheetId="1" hidden="1">2</definedName>
    <definedName name="solver_msl" localSheetId="0" hidden="1">2</definedName>
    <definedName name="solver_neg" localSheetId="1" hidden="1">1</definedName>
    <definedName name="solver_neg" localSheetId="0" hidden="1">1</definedName>
    <definedName name="solver_nod" localSheetId="1" hidden="1">2147483647</definedName>
    <definedName name="solver_nod" localSheetId="0" hidden="1">2147483647</definedName>
    <definedName name="solver_nsim" hidden="1">1</definedName>
    <definedName name="solver_ntr" localSheetId="1" hidden="1">0</definedName>
    <definedName name="solver_ntr" localSheetId="0" hidden="1">0</definedName>
    <definedName name="solver_ntri" hidden="1">1000</definedName>
    <definedName name="solver_num" localSheetId="1" hidden="1">4</definedName>
    <definedName name="solver_num" localSheetId="0" hidden="1">4</definedName>
    <definedName name="solver_nwt" localSheetId="1" hidden="1">1</definedName>
    <definedName name="solver_nwt" localSheetId="0" hidden="1">1</definedName>
    <definedName name="solver_obc" localSheetId="1" hidden="1">0</definedName>
    <definedName name="solver_obc" localSheetId="0" hidden="1">0</definedName>
    <definedName name="solver_obp" localSheetId="1" hidden="1">0</definedName>
    <definedName name="solver_obp" localSheetId="0" hidden="1">0</definedName>
    <definedName name="solver_opt" localSheetId="1" hidden="1">model!$F$5</definedName>
    <definedName name="solver_opt" localSheetId="0" hidden="1">model_cap!$F$5</definedName>
    <definedName name="solver_opt_ob" localSheetId="1" hidden="1">1</definedName>
    <definedName name="solver_opt_ob" localSheetId="0" hidden="1">1</definedName>
    <definedName name="solver_pre" localSheetId="1" hidden="1">0.001</definedName>
    <definedName name="solver_pre" localSheetId="0" hidden="1">0.001</definedName>
    <definedName name="solver_psi" localSheetId="1" hidden="1">0</definedName>
    <definedName name="solver_psi" localSheetId="0" hidden="1">0</definedName>
    <definedName name="solver_rbv" localSheetId="1" hidden="1">2</definedName>
    <definedName name="solver_rbv" localSheetId="0" hidden="1">2</definedName>
    <definedName name="solver_rdp" localSheetId="1" hidden="1">0</definedName>
    <definedName name="solver_rdp" localSheetId="0" hidden="1">0</definedName>
    <definedName name="solver_rel1" localSheetId="1" hidden="1">1</definedName>
    <definedName name="solver_rel1" localSheetId="0" hidden="1">1</definedName>
    <definedName name="solver_rel2" localSheetId="1" hidden="1">2</definedName>
    <definedName name="solver_rel2" localSheetId="0" hidden="1">2</definedName>
    <definedName name="solver_rel3" localSheetId="1" hidden="1">3</definedName>
    <definedName name="solver_rel3" localSheetId="0" hidden="1">3</definedName>
    <definedName name="solver_rel4" localSheetId="1" hidden="1">3</definedName>
    <definedName name="solver_rel4" localSheetId="0" hidden="1">3</definedName>
    <definedName name="solver_rel5" localSheetId="1" hidden="1">3</definedName>
    <definedName name="solver_rel5" localSheetId="0" hidden="1">3</definedName>
    <definedName name="solver_rel6" localSheetId="1" hidden="1">2</definedName>
    <definedName name="solver_rel6" localSheetId="0" hidden="1">2</definedName>
    <definedName name="solver_rgen" hidden="1">1</definedName>
    <definedName name="solver_rhs1" localSheetId="1" hidden="1">model!$J$8:$J$17</definedName>
    <definedName name="solver_rhs1" localSheetId="0" hidden="1">model_cap!$J$8:$J$17</definedName>
    <definedName name="solver_rhs2" localSheetId="1" hidden="1">0</definedName>
    <definedName name="solver_rhs2" localSheetId="0" hidden="1">0</definedName>
    <definedName name="solver_rhs3" localSheetId="1" hidden="1">0</definedName>
    <definedName name="solver_rhs3" localSheetId="0" hidden="1">0</definedName>
    <definedName name="solver_rhs4" localSheetId="1" hidden="1">0</definedName>
    <definedName name="solver_rhs4" localSheetId="0" hidden="1">0</definedName>
    <definedName name="solver_rhs5" localSheetId="1" hidden="1">0</definedName>
    <definedName name="solver_rhs5" localSheetId="0" hidden="1">0</definedName>
    <definedName name="solver_rhs6" localSheetId="1" hidden="1">0</definedName>
    <definedName name="solver_rhs6" localSheetId="0" hidden="1">0</definedName>
    <definedName name="solver_rlx" localSheetId="1" hidden="1">2</definedName>
    <definedName name="solver_rlx" localSheetId="0" hidden="1">2</definedName>
    <definedName name="solver_rsd" localSheetId="1" hidden="1">0</definedName>
    <definedName name="solver_rsd" localSheetId="0" hidden="1">0</definedName>
    <definedName name="solver_rsmp" hidden="1">2</definedName>
    <definedName name="solver_rtr" localSheetId="1" hidden="1">0</definedName>
    <definedName name="solver_rtr" localSheetId="0" hidden="1">0</definedName>
    <definedName name="solver_rxc1" localSheetId="1" hidden="1">1</definedName>
    <definedName name="solver_rxc1" localSheetId="0" hidden="1">1</definedName>
    <definedName name="solver_rxc2" localSheetId="1" hidden="1">1</definedName>
    <definedName name="solver_rxc2" localSheetId="0" hidden="1">1</definedName>
    <definedName name="solver_rxc3" localSheetId="1" hidden="1">1</definedName>
    <definedName name="solver_rxc3" localSheetId="0" hidden="1">1</definedName>
    <definedName name="solver_rxc4" localSheetId="1" hidden="1">1</definedName>
    <definedName name="solver_rxc4" localSheetId="0" hidden="1">1</definedName>
    <definedName name="solver_rxc5" localSheetId="1" hidden="1">1</definedName>
    <definedName name="solver_rxc5" localSheetId="0" hidden="1">1</definedName>
    <definedName name="solver_rxv" localSheetId="1" hidden="1">1</definedName>
    <definedName name="solver_rxv" localSheetId="0" hidden="1">1</definedName>
    <definedName name="solver_rxv1" localSheetId="1" hidden="1">1</definedName>
    <definedName name="solver_rxv1" localSheetId="0" hidden="1">1</definedName>
    <definedName name="solver_scl" localSheetId="1" hidden="1">2</definedName>
    <definedName name="solver_scl" localSheetId="0" hidden="1">2</definedName>
    <definedName name="solver_seed" hidden="1">0</definedName>
    <definedName name="solver_sel" localSheetId="1" hidden="1">1</definedName>
    <definedName name="solver_sel" localSheetId="0" hidden="1">1</definedName>
    <definedName name="solver_sho" localSheetId="1" hidden="1">2</definedName>
    <definedName name="solver_sho" localSheetId="0" hidden="1">2</definedName>
    <definedName name="solver_slv" localSheetId="1" hidden="1">0</definedName>
    <definedName name="solver_slv" localSheetId="0" hidden="1">0</definedName>
    <definedName name="solver_slvu" localSheetId="1" hidden="1">0</definedName>
    <definedName name="solver_slvu" localSheetId="0" hidden="1">0</definedName>
    <definedName name="solver_ssz" localSheetId="1" hidden="1">0</definedName>
    <definedName name="solver_ssz" localSheetId="0" hidden="1">0</definedName>
    <definedName name="solver_stat" hidden="1">2</definedName>
    <definedName name="solver_strm" hidden="1">0</definedName>
    <definedName name="solver_tim" localSheetId="1" hidden="1">2147483647</definedName>
    <definedName name="solver_tim" localSheetId="0" hidden="1">2147483647</definedName>
    <definedName name="solver_tol" localSheetId="1" hidden="1">0.01</definedName>
    <definedName name="solver_tol" localSheetId="0" hidden="1">0.01</definedName>
    <definedName name="solver_typ" localSheetId="1" hidden="1">2</definedName>
    <definedName name="solver_typ" localSheetId="0" hidden="1">2</definedName>
    <definedName name="solver_ucens" hidden="1">1E+30</definedName>
    <definedName name="solver_ucut" hidden="1">1E+30</definedName>
    <definedName name="solver_umod" localSheetId="1" hidden="1">1</definedName>
    <definedName name="solver_umod" localSheetId="0" hidden="1">1</definedName>
    <definedName name="solver_urs" localSheetId="1" hidden="1">0</definedName>
    <definedName name="solver_urs" localSheetId="0" hidden="1">0</definedName>
    <definedName name="solver_val" localSheetId="1" hidden="1">0</definedName>
    <definedName name="solver_val" localSheetId="0" hidden="1">0</definedName>
    <definedName name="solver_var" localSheetId="1" hidden="1">" "</definedName>
    <definedName name="solver_var" localSheetId="0" hidden="1">" "</definedName>
    <definedName name="solver_var1" localSheetId="1" hidden="1">" "</definedName>
    <definedName name="solver_var1" localSheetId="0" hidden="1">" "</definedName>
    <definedName name="solver_ver" localSheetId="1" hidden="1">3</definedName>
    <definedName name="solver_ver" localSheetId="0" hidden="1">3</definedName>
    <definedName name="solver_vir" localSheetId="1" hidden="1">1</definedName>
    <definedName name="solver_vir" localSheetId="0" hidden="1">1</definedName>
    <definedName name="solver_vir1" localSheetId="1" hidden="1">1</definedName>
    <definedName name="solver_vir1" localSheetId="0" hidden="1">1</definedName>
    <definedName name="solver_vol" localSheetId="1" hidden="1">0</definedName>
    <definedName name="solver_vol" localSheetId="0" hidden="1">0</definedName>
    <definedName name="solver_vst" localSheetId="1" hidden="1">0</definedName>
    <definedName name="solver_vst" localSheetId="0" hidden="1">0</definedName>
    <definedName name="solver_vst1" localSheetId="1" hidden="1">0</definedName>
    <definedName name="solver_vst1" localSheetId="0" hidden="1">0</definedName>
    <definedName name="With" localSheetId="0">#REF!</definedName>
    <definedName name="Wit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5" i="4" l="1"/>
  <c r="B4" i="4"/>
  <c r="B3" i="4"/>
  <c r="B2" i="4"/>
  <c r="M10" i="4"/>
  <c r="M12" i="4"/>
  <c r="M15" i="4"/>
  <c r="M17" i="4"/>
  <c r="B3" i="2" l="1"/>
  <c r="B4" i="2"/>
  <c r="B5" i="2"/>
  <c r="B2" i="2"/>
  <c r="K2" i="2"/>
  <c r="E11" i="4"/>
  <c r="M11" i="4" s="1"/>
  <c r="E16" i="4"/>
  <c r="M16" i="4" s="1"/>
  <c r="E13" i="4"/>
  <c r="M13" i="4" s="1"/>
  <c r="E8" i="4"/>
  <c r="M8" i="4" s="1"/>
  <c r="F25" i="4"/>
  <c r="E25" i="4"/>
  <c r="F24" i="4"/>
  <c r="E24" i="4"/>
  <c r="F23" i="4"/>
  <c r="E23" i="4"/>
  <c r="F22" i="4"/>
  <c r="E22" i="4"/>
  <c r="F21" i="4"/>
  <c r="E21" i="4"/>
  <c r="F20" i="4"/>
  <c r="G20" i="4" s="1"/>
  <c r="E20" i="4"/>
  <c r="G17" i="4"/>
  <c r="F17" i="4"/>
  <c r="E17" i="4"/>
  <c r="G16" i="4"/>
  <c r="F16" i="4"/>
  <c r="G15" i="4"/>
  <c r="F15" i="4"/>
  <c r="E15" i="4"/>
  <c r="G14" i="4"/>
  <c r="F14" i="4"/>
  <c r="E14" i="4"/>
  <c r="M14" i="4" s="1"/>
  <c r="G13" i="4"/>
  <c r="F13" i="4"/>
  <c r="G12" i="4"/>
  <c r="F12" i="4"/>
  <c r="E12" i="4"/>
  <c r="G11" i="4"/>
  <c r="F11" i="4"/>
  <c r="G10" i="4"/>
  <c r="F10" i="4"/>
  <c r="E10" i="4"/>
  <c r="G9" i="4"/>
  <c r="F9" i="4"/>
  <c r="H8" i="4"/>
  <c r="G8" i="4"/>
  <c r="F8" i="4"/>
  <c r="G25" i="4" l="1"/>
  <c r="J10" i="4"/>
  <c r="G23" i="4"/>
  <c r="J14" i="4"/>
  <c r="J17" i="4"/>
  <c r="G21" i="4"/>
  <c r="G22" i="4"/>
  <c r="J13" i="4"/>
  <c r="F5" i="4"/>
  <c r="J12" i="4"/>
  <c r="J15" i="4"/>
  <c r="J16" i="4"/>
  <c r="J11" i="4"/>
  <c r="G24" i="4"/>
  <c r="J8" i="4"/>
  <c r="E9" i="4"/>
  <c r="E25" i="2"/>
  <c r="F25" i="2"/>
  <c r="F24" i="2"/>
  <c r="E24" i="2"/>
  <c r="F23" i="2"/>
  <c r="E23" i="2"/>
  <c r="F22" i="2"/>
  <c r="E22" i="2"/>
  <c r="F21" i="2"/>
  <c r="E21" i="2"/>
  <c r="F20" i="2"/>
  <c r="E20" i="2"/>
  <c r="G17" i="2"/>
  <c r="F17" i="2"/>
  <c r="E17" i="2"/>
  <c r="G16" i="2"/>
  <c r="F16" i="2"/>
  <c r="E16" i="2"/>
  <c r="G15" i="2"/>
  <c r="F15" i="2"/>
  <c r="E15" i="2"/>
  <c r="G14" i="2"/>
  <c r="F14" i="2"/>
  <c r="J14" i="2" s="1"/>
  <c r="E14" i="2"/>
  <c r="G13" i="2"/>
  <c r="F13" i="2"/>
  <c r="E13" i="2"/>
  <c r="G12" i="2"/>
  <c r="F12" i="2"/>
  <c r="J12" i="2" s="1"/>
  <c r="E12" i="2"/>
  <c r="G11" i="2"/>
  <c r="F11" i="2"/>
  <c r="E11" i="2"/>
  <c r="G10" i="2"/>
  <c r="F10" i="2"/>
  <c r="J10" i="2" s="1"/>
  <c r="E10" i="2"/>
  <c r="G9" i="2"/>
  <c r="F9" i="2"/>
  <c r="E9" i="2"/>
  <c r="H8" i="2"/>
  <c r="G8" i="2"/>
  <c r="F8" i="2"/>
  <c r="E8" i="2"/>
  <c r="J9" i="4" l="1"/>
  <c r="M9" i="4"/>
  <c r="G20" i="2"/>
  <c r="J11" i="2"/>
  <c r="J9" i="2"/>
  <c r="J13" i="2"/>
  <c r="G23" i="2"/>
  <c r="G25" i="2"/>
  <c r="G21" i="2"/>
  <c r="G22" i="2"/>
  <c r="G24" i="2"/>
  <c r="J15" i="2"/>
  <c r="J8" i="2"/>
  <c r="J17" i="2"/>
  <c r="F5" i="2"/>
  <c r="J16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F5" authorId="0" shapeId="0" xr:uid="{CAF9A675-9EE4-4F23-9C6B-4A0A9EC19009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Objective function</t>
        </r>
      </text>
    </comment>
    <comment ref="B6" authorId="0" shapeId="0" xr:uid="{B51D123F-7E45-4DF0-A9B2-0C3573D3FE2B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Set the frequency to be a very large number</t>
        </r>
      </text>
    </comment>
    <comment ref="C8" authorId="0" shapeId="0" xr:uid="{93A93093-1A54-47D0-B1D2-DD0EB274E163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Decision Varibles</t>
        </r>
      </text>
    </comment>
    <comment ref="E19" authorId="0" shapeId="0" xr:uid="{E1459528-16D3-441D-9A8E-87C52575F9CD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Constraints</t>
        </r>
      </text>
    </comment>
    <comment ref="B20" authorId="0" shapeId="0" xr:uid="{24CFBF9B-C5D5-49A4-965A-A96B022C5E7B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Decision Variables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F5" authorId="0" shapeId="0" xr:uid="{22A20260-70C6-485D-89D1-4E625B97C47D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Objective function</t>
        </r>
      </text>
    </comment>
    <comment ref="B6" authorId="0" shapeId="0" xr:uid="{6F703120-EB80-4487-AEDA-44D42C0AB30F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Set the frequency to be a very large number</t>
        </r>
      </text>
    </comment>
    <comment ref="C8" authorId="0" shapeId="0" xr:uid="{734C53B2-CE7E-45FE-953B-BF8C9E219B8E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Decision Varibles</t>
        </r>
      </text>
    </comment>
    <comment ref="E19" authorId="0" shapeId="0" xr:uid="{74BE5CD0-6FAE-408F-8B06-A8E9A5AC26DE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Constraints</t>
        </r>
      </text>
    </comment>
    <comment ref="B20" authorId="0" shapeId="0" xr:uid="{B72E8FFE-3C69-4255-823A-258CEEFA8228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Decision Variables</t>
        </r>
      </text>
    </comment>
  </commentList>
</comments>
</file>

<file path=xl/sharedStrings.xml><?xml version="1.0" encoding="utf-8"?>
<sst xmlns="http://schemas.openxmlformats.org/spreadsheetml/2006/main" count="82" uniqueCount="44">
  <si>
    <t>Line Id</t>
  </si>
  <si>
    <t xml:space="preserve">Frequency </t>
  </si>
  <si>
    <t>G1</t>
  </si>
  <si>
    <t>Demand</t>
  </si>
  <si>
    <t>G2</t>
  </si>
  <si>
    <t>G3</t>
  </si>
  <si>
    <t>G4</t>
  </si>
  <si>
    <t>Objective</t>
  </si>
  <si>
    <t>D</t>
  </si>
  <si>
    <t>Variables for link volum</t>
  </si>
  <si>
    <t>Cost</t>
  </si>
  <si>
    <t>Frequency</t>
  </si>
  <si>
    <t>Node w_i</t>
  </si>
  <si>
    <t>Travel cost * flow</t>
  </si>
  <si>
    <t>Waiting time</t>
  </si>
  <si>
    <t>fre*wi</t>
  </si>
  <si>
    <t>A-&gt;B</t>
  </si>
  <si>
    <t>A-&gt;X2</t>
  </si>
  <si>
    <t>X2-&gt;Y</t>
  </si>
  <si>
    <t>Y-&gt;B</t>
  </si>
  <si>
    <t>X2-&gt;X</t>
  </si>
  <si>
    <t>X-&gt;X2</t>
  </si>
  <si>
    <t>Y-&gt;Y3</t>
  </si>
  <si>
    <t>Y3-&gt;Y</t>
  </si>
  <si>
    <t>X-&gt;Y3</t>
  </si>
  <si>
    <t>Y3-&gt;B</t>
  </si>
  <si>
    <t xml:space="preserve">Nodes </t>
  </si>
  <si>
    <t>w_i</t>
  </si>
  <si>
    <t>in</t>
  </si>
  <si>
    <t>out</t>
  </si>
  <si>
    <t>A</t>
  </si>
  <si>
    <t>X_2</t>
  </si>
  <si>
    <t>Y</t>
  </si>
  <si>
    <t>X</t>
  </si>
  <si>
    <t>Y_3</t>
  </si>
  <si>
    <t>Frequency:No.bus per hour</t>
  </si>
  <si>
    <t>Fre</t>
  </si>
  <si>
    <t xml:space="preserve">Profit </t>
  </si>
  <si>
    <t>No. of Passengers</t>
  </si>
  <si>
    <t>CapacityConstraint</t>
  </si>
  <si>
    <t xml:space="preserve">Cap </t>
  </si>
  <si>
    <t>Cap</t>
  </si>
  <si>
    <t>WithCap</t>
  </si>
  <si>
    <t>WithoutCap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</si>
</sst>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Symbol"/>
      <family val="1"/>
      <charset val="2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2" fontId="0" fillId="0" borderId="0" xfId="0" applyNumberFormat="1"/>
    <xf numFmtId="0" fontId="0" fillId="0" borderId="1" xfId="0" applyBorder="1"/>
    <xf numFmtId="0" fontId="0" fillId="0" borderId="2" xfId="0" applyBorder="1"/>
    <xf numFmtId="0" fontId="0" fillId="3" borderId="0" xfId="0" applyFill="1"/>
    <xf numFmtId="2" fontId="0" fillId="3" borderId="0" xfId="0" applyNumberFormat="1" applyFill="1"/>
    <xf numFmtId="0" fontId="1" fillId="0" borderId="0" xfId="0" applyFont="1" applyAlignment="1">
      <alignment horizontal="right"/>
    </xf>
    <xf numFmtId="0" fontId="0" fillId="0" borderId="3" xfId="0" applyBorder="1"/>
    <xf numFmtId="2" fontId="0" fillId="4" borderId="0" xfId="0" applyNumberFormat="1" applyFill="1"/>
    <xf numFmtId="0" fontId="0" fillId="2" borderId="3" xfId="0" applyFill="1" applyBorder="1"/>
    <xf numFmtId="0" fontId="2" fillId="3" borderId="0" xfId="0" applyFont="1" applyFill="1"/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5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'ex2'!$B$1</c:f>
              <c:strCache>
                <c:ptCount val="1"/>
                <c:pt idx="0">
                  <c:v>Profit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'ex2'!$A$2:$A$27</c:f>
              <c:numCache>
                <c:formatCode>General</c:formatCode>
                <c:ptCount val="26"/>
                <c:pt idx="0">
                  <c:v>2</c:v>
                </c:pt>
                <c:pt idx="1">
                  <c:v>2.5</c:v>
                </c:pt>
                <c:pt idx="2">
                  <c:v>3</c:v>
                </c:pt>
                <c:pt idx="3">
                  <c:v>3.5</c:v>
                </c:pt>
                <c:pt idx="4">
                  <c:v>4</c:v>
                </c:pt>
                <c:pt idx="5">
                  <c:v>4.5</c:v>
                </c:pt>
                <c:pt idx="6">
                  <c:v>5</c:v>
                </c:pt>
                <c:pt idx="7">
                  <c:v>5.5</c:v>
                </c:pt>
                <c:pt idx="8">
                  <c:v>6</c:v>
                </c:pt>
                <c:pt idx="9">
                  <c:v>6.5</c:v>
                </c:pt>
                <c:pt idx="10">
                  <c:v>7</c:v>
                </c:pt>
                <c:pt idx="11">
                  <c:v>7.5</c:v>
                </c:pt>
                <c:pt idx="12">
                  <c:v>8</c:v>
                </c:pt>
                <c:pt idx="13">
                  <c:v>8.5</c:v>
                </c:pt>
                <c:pt idx="14">
                  <c:v>9</c:v>
                </c:pt>
                <c:pt idx="15">
                  <c:v>9.5</c:v>
                </c:pt>
                <c:pt idx="16">
                  <c:v>10</c:v>
                </c:pt>
                <c:pt idx="17">
                  <c:v>10.5</c:v>
                </c:pt>
                <c:pt idx="18">
                  <c:v>11</c:v>
                </c:pt>
                <c:pt idx="19">
                  <c:v>11.5</c:v>
                </c:pt>
                <c:pt idx="20">
                  <c:v>12</c:v>
                </c:pt>
                <c:pt idx="21">
                  <c:v>12.5</c:v>
                </c:pt>
                <c:pt idx="22">
                  <c:v>13</c:v>
                </c:pt>
                <c:pt idx="23">
                  <c:v>13.5</c:v>
                </c:pt>
                <c:pt idx="24">
                  <c:v>14</c:v>
                </c:pt>
                <c:pt idx="25">
                  <c:v>14.5</c:v>
                </c:pt>
              </c:numCache>
            </c:numRef>
          </c:xVal>
          <c:yVal>
            <c:numRef>
              <c:f>'ex2'!$B$2:$B$27</c:f>
              <c:numCache>
                <c:formatCode>General</c:formatCode>
                <c:ptCount val="26"/>
                <c:pt idx="0">
                  <c:v>7333.3333333333339</c:v>
                </c:pt>
                <c:pt idx="1">
                  <c:v>8749.9999999999964</c:v>
                </c:pt>
                <c:pt idx="2">
                  <c:v>10038.461538461546</c:v>
                </c:pt>
                <c:pt idx="3">
                  <c:v>11212.962962962971</c:v>
                </c:pt>
                <c:pt idx="4">
                  <c:v>12285.714285714283</c:v>
                </c:pt>
                <c:pt idx="5">
                  <c:v>13267.241379310341</c:v>
                </c:pt>
                <c:pt idx="6">
                  <c:v>14166.666666666675</c:v>
                </c:pt>
                <c:pt idx="7">
                  <c:v>14991.935483870973</c:v>
                </c:pt>
                <c:pt idx="8">
                  <c:v>15749.999999999996</c:v>
                </c:pt>
                <c:pt idx="9">
                  <c:v>16446.969696969707</c:v>
                </c:pt>
                <c:pt idx="10">
                  <c:v>17088.23529411765</c:v>
                </c:pt>
                <c:pt idx="11">
                  <c:v>17678.571428571428</c:v>
                </c:pt>
                <c:pt idx="12">
                  <c:v>18222.222222222223</c:v>
                </c:pt>
                <c:pt idx="13">
                  <c:v>18722.972972972981</c:v>
                </c:pt>
                <c:pt idx="14">
                  <c:v>19184.210526315794</c:v>
                </c:pt>
                <c:pt idx="15">
                  <c:v>19608.974358974359</c:v>
                </c:pt>
                <c:pt idx="16">
                  <c:v>20000</c:v>
                </c:pt>
                <c:pt idx="17">
                  <c:v>20359.756097560978</c:v>
                </c:pt>
                <c:pt idx="18">
                  <c:v>20690.476190476191</c:v>
                </c:pt>
                <c:pt idx="19">
                  <c:v>20994.18604651163</c:v>
                </c:pt>
                <c:pt idx="20">
                  <c:v>21272.727272727276</c:v>
                </c:pt>
                <c:pt idx="21">
                  <c:v>21527.777777777781</c:v>
                </c:pt>
                <c:pt idx="22">
                  <c:v>21760.869565217399</c:v>
                </c:pt>
                <c:pt idx="23">
                  <c:v>21973.404255319143</c:v>
                </c:pt>
                <c:pt idx="24">
                  <c:v>22166.666666666675</c:v>
                </c:pt>
                <c:pt idx="25">
                  <c:v>22341.836734693879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CE-4215-97E6-F3F0BFF91E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799408"/>
        <c:axId val="454795800"/>
      </c:scatterChart>
      <c:scatterChart>
        <c:scatterStyle val="smoothMarker"/>
        <c:varyColors val="0"/>
        <c:ser>
          <c:idx val="1"/>
          <c:order val="1"/>
          <c:tx>
            <c:strRef>
              <c:f>'ex2'!$C$1</c:f>
              <c:strCache>
                <c:ptCount val="1"/>
                <c:pt idx="0">
                  <c:v>No. of Passengers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'ex2'!$A$2:$A$27</c:f>
              <c:numCache>
                <c:formatCode>General</c:formatCode>
                <c:ptCount val="26"/>
                <c:pt idx="0">
                  <c:v>2</c:v>
                </c:pt>
                <c:pt idx="1">
                  <c:v>2.5</c:v>
                </c:pt>
                <c:pt idx="2">
                  <c:v>3</c:v>
                </c:pt>
                <c:pt idx="3">
                  <c:v>3.5</c:v>
                </c:pt>
                <c:pt idx="4">
                  <c:v>4</c:v>
                </c:pt>
                <c:pt idx="5">
                  <c:v>4.5</c:v>
                </c:pt>
                <c:pt idx="6">
                  <c:v>5</c:v>
                </c:pt>
                <c:pt idx="7">
                  <c:v>5.5</c:v>
                </c:pt>
                <c:pt idx="8">
                  <c:v>6</c:v>
                </c:pt>
                <c:pt idx="9">
                  <c:v>6.5</c:v>
                </c:pt>
                <c:pt idx="10">
                  <c:v>7</c:v>
                </c:pt>
                <c:pt idx="11">
                  <c:v>7.5</c:v>
                </c:pt>
                <c:pt idx="12">
                  <c:v>8</c:v>
                </c:pt>
                <c:pt idx="13">
                  <c:v>8.5</c:v>
                </c:pt>
                <c:pt idx="14">
                  <c:v>9</c:v>
                </c:pt>
                <c:pt idx="15">
                  <c:v>9.5</c:v>
                </c:pt>
                <c:pt idx="16">
                  <c:v>10</c:v>
                </c:pt>
                <c:pt idx="17">
                  <c:v>10.5</c:v>
                </c:pt>
                <c:pt idx="18">
                  <c:v>11</c:v>
                </c:pt>
                <c:pt idx="19">
                  <c:v>11.5</c:v>
                </c:pt>
                <c:pt idx="20">
                  <c:v>12</c:v>
                </c:pt>
                <c:pt idx="21">
                  <c:v>12.5</c:v>
                </c:pt>
                <c:pt idx="22">
                  <c:v>13</c:v>
                </c:pt>
                <c:pt idx="23">
                  <c:v>13.5</c:v>
                </c:pt>
                <c:pt idx="24">
                  <c:v>14</c:v>
                </c:pt>
                <c:pt idx="25">
                  <c:v>14.5</c:v>
                </c:pt>
              </c:numCache>
            </c:numRef>
          </c:xVal>
          <c:yVal>
            <c:numRef>
              <c:f>'ex2'!$C$2:$C$27</c:f>
              <c:numCache>
                <c:formatCode>General</c:formatCode>
                <c:ptCount val="26"/>
                <c:pt idx="0">
                  <c:v>166.66666666666669</c:v>
                </c:pt>
                <c:pt idx="1">
                  <c:v>199.99999999999991</c:v>
                </c:pt>
                <c:pt idx="2">
                  <c:v>230.76923076923094</c:v>
                </c:pt>
                <c:pt idx="3">
                  <c:v>259.25925925925941</c:v>
                </c:pt>
                <c:pt idx="4">
                  <c:v>285.71428571428567</c:v>
                </c:pt>
                <c:pt idx="5">
                  <c:v>310.3448275862068</c:v>
                </c:pt>
                <c:pt idx="6">
                  <c:v>333.33333333333348</c:v>
                </c:pt>
                <c:pt idx="7">
                  <c:v>354.83870967741944</c:v>
                </c:pt>
                <c:pt idx="8">
                  <c:v>374.99999999999994</c:v>
                </c:pt>
                <c:pt idx="9">
                  <c:v>393.93939393939417</c:v>
                </c:pt>
                <c:pt idx="10">
                  <c:v>411.76470588235304</c:v>
                </c:pt>
                <c:pt idx="11">
                  <c:v>428.57142857142856</c:v>
                </c:pt>
                <c:pt idx="12">
                  <c:v>444.44444444444446</c:v>
                </c:pt>
                <c:pt idx="13">
                  <c:v>459.45945945945959</c:v>
                </c:pt>
                <c:pt idx="14">
                  <c:v>473.68421052631584</c:v>
                </c:pt>
                <c:pt idx="15">
                  <c:v>487.17948717948718</c:v>
                </c:pt>
                <c:pt idx="16">
                  <c:v>500</c:v>
                </c:pt>
                <c:pt idx="17">
                  <c:v>512.19512195121956</c:v>
                </c:pt>
                <c:pt idx="18">
                  <c:v>523.80952380952385</c:v>
                </c:pt>
                <c:pt idx="19">
                  <c:v>534.88372093023258</c:v>
                </c:pt>
                <c:pt idx="20">
                  <c:v>545.4545454545455</c:v>
                </c:pt>
                <c:pt idx="21">
                  <c:v>555.55555555555566</c:v>
                </c:pt>
                <c:pt idx="22">
                  <c:v>565.21739130434798</c:v>
                </c:pt>
                <c:pt idx="23">
                  <c:v>574.46808510638289</c:v>
                </c:pt>
                <c:pt idx="24">
                  <c:v>583.33333333333348</c:v>
                </c:pt>
                <c:pt idx="25">
                  <c:v>591.83673469387759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CE-4215-97E6-F3F0BFF91E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048592"/>
        <c:axId val="461047608"/>
      </c:scatterChart>
      <c:valAx>
        <c:axId val="454799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795800"/>
        <c:crosses val="autoZero"/>
        <c:crossBetween val="midCat"/>
      </c:valAx>
      <c:valAx>
        <c:axId val="454795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799408"/>
        <c:crosses val="autoZero"/>
        <c:crossBetween val="midCat"/>
      </c:valAx>
      <c:valAx>
        <c:axId val="4610476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048592"/>
        <c:crosses val="max"/>
        <c:crossBetween val="midCat"/>
      </c:valAx>
      <c:valAx>
        <c:axId val="461048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1047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'ex4'!$B$1</c:f>
              <c:strCache>
                <c:ptCount val="1"/>
                <c:pt idx="0">
                  <c:v>WithCap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'ex4'!$A$2:$A$25</c:f>
              <c:numCache>
                <c:formatCode>General</c:formatCode>
                <c:ptCount val="24"/>
                <c:pt idx="0">
                  <c:v>3</c:v>
                </c:pt>
                <c:pt idx="1">
                  <c:v>3.5</c:v>
                </c:pt>
                <c:pt idx="2">
                  <c:v>4</c:v>
                </c:pt>
                <c:pt idx="3">
                  <c:v>4.5</c:v>
                </c:pt>
                <c:pt idx="4">
                  <c:v>5</c:v>
                </c:pt>
                <c:pt idx="5">
                  <c:v>5.5</c:v>
                </c:pt>
                <c:pt idx="6">
                  <c:v>6</c:v>
                </c:pt>
                <c:pt idx="7">
                  <c:v>6.5</c:v>
                </c:pt>
                <c:pt idx="8">
                  <c:v>7</c:v>
                </c:pt>
                <c:pt idx="9">
                  <c:v>7.5</c:v>
                </c:pt>
                <c:pt idx="10">
                  <c:v>8</c:v>
                </c:pt>
                <c:pt idx="11">
                  <c:v>8.5</c:v>
                </c:pt>
                <c:pt idx="12">
                  <c:v>9</c:v>
                </c:pt>
                <c:pt idx="13">
                  <c:v>9.5</c:v>
                </c:pt>
                <c:pt idx="14">
                  <c:v>10</c:v>
                </c:pt>
                <c:pt idx="15">
                  <c:v>10.5</c:v>
                </c:pt>
                <c:pt idx="16">
                  <c:v>11</c:v>
                </c:pt>
                <c:pt idx="17">
                  <c:v>11.5</c:v>
                </c:pt>
                <c:pt idx="18">
                  <c:v>12</c:v>
                </c:pt>
                <c:pt idx="19">
                  <c:v>12.5</c:v>
                </c:pt>
                <c:pt idx="20">
                  <c:v>13</c:v>
                </c:pt>
                <c:pt idx="21">
                  <c:v>13.5</c:v>
                </c:pt>
                <c:pt idx="22">
                  <c:v>14</c:v>
                </c:pt>
                <c:pt idx="23">
                  <c:v>14.5</c:v>
                </c:pt>
              </c:numCache>
            </c:numRef>
          </c:xVal>
          <c:yVal>
            <c:numRef>
              <c:f>'ex4'!$B$2:$B$25</c:f>
              <c:numCache>
                <c:formatCode>General</c:formatCode>
                <c:ptCount val="24"/>
                <c:pt idx="0">
                  <c:v>5</c:v>
                </c:pt>
                <c:pt idx="1">
                  <c:v>5.833333333333333</c:v>
                </c:pt>
                <c:pt idx="2">
                  <c:v>6.666666666666667</c:v>
                </c:pt>
                <c:pt idx="3">
                  <c:v>7.5</c:v>
                </c:pt>
                <c:pt idx="4">
                  <c:v>8.3333333333333321</c:v>
                </c:pt>
                <c:pt idx="5">
                  <c:v>9.1666666666666661</c:v>
                </c:pt>
                <c:pt idx="6">
                  <c:v>10</c:v>
                </c:pt>
                <c:pt idx="7">
                  <c:v>10.833333333333334</c:v>
                </c:pt>
                <c:pt idx="8">
                  <c:v>11.666666666666666</c:v>
                </c:pt>
                <c:pt idx="9">
                  <c:v>12.5</c:v>
                </c:pt>
                <c:pt idx="10">
                  <c:v>13.33333333333333</c:v>
                </c:pt>
                <c:pt idx="11">
                  <c:v>13.783783783783779</c:v>
                </c:pt>
                <c:pt idx="12">
                  <c:v>14.210526315789476</c:v>
                </c:pt>
                <c:pt idx="13">
                  <c:v>14.615384615384617</c:v>
                </c:pt>
                <c:pt idx="14">
                  <c:v>15</c:v>
                </c:pt>
                <c:pt idx="15">
                  <c:v>15.365853658536592</c:v>
                </c:pt>
                <c:pt idx="16">
                  <c:v>15.714285714285715</c:v>
                </c:pt>
                <c:pt idx="17">
                  <c:v>16.046511627906973</c:v>
                </c:pt>
                <c:pt idx="18">
                  <c:v>16.363636363636363</c:v>
                </c:pt>
                <c:pt idx="19">
                  <c:v>16.666666666666675</c:v>
                </c:pt>
                <c:pt idx="20">
                  <c:v>16.956521739130437</c:v>
                </c:pt>
                <c:pt idx="21">
                  <c:v>17.234042553191482</c:v>
                </c:pt>
                <c:pt idx="22">
                  <c:v>17.5</c:v>
                </c:pt>
                <c:pt idx="23">
                  <c:v>17.755102040816329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D3-4F55-A054-7DC9E28218C5}"/>
            </c:ext>
          </c:extLst>
        </c:ser>
        <c:ser>
          <c:idx val="1"/>
          <c:order val="1"/>
          <c:tx>
            <c:strRef>
              <c:f>'ex4'!$C$1</c:f>
              <c:strCache>
                <c:ptCount val="1"/>
                <c:pt idx="0">
                  <c:v>WithoutCap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'ex4'!$A$2:$A$25</c:f>
              <c:numCache>
                <c:formatCode>General</c:formatCode>
                <c:ptCount val="24"/>
                <c:pt idx="0">
                  <c:v>3</c:v>
                </c:pt>
                <c:pt idx="1">
                  <c:v>3.5</c:v>
                </c:pt>
                <c:pt idx="2">
                  <c:v>4</c:v>
                </c:pt>
                <c:pt idx="3">
                  <c:v>4.5</c:v>
                </c:pt>
                <c:pt idx="4">
                  <c:v>5</c:v>
                </c:pt>
                <c:pt idx="5">
                  <c:v>5.5</c:v>
                </c:pt>
                <c:pt idx="6">
                  <c:v>6</c:v>
                </c:pt>
                <c:pt idx="7">
                  <c:v>6.5</c:v>
                </c:pt>
                <c:pt idx="8">
                  <c:v>7</c:v>
                </c:pt>
                <c:pt idx="9">
                  <c:v>7.5</c:v>
                </c:pt>
                <c:pt idx="10">
                  <c:v>8</c:v>
                </c:pt>
                <c:pt idx="11">
                  <c:v>8.5</c:v>
                </c:pt>
                <c:pt idx="12">
                  <c:v>9</c:v>
                </c:pt>
                <c:pt idx="13">
                  <c:v>9.5</c:v>
                </c:pt>
                <c:pt idx="14">
                  <c:v>10</c:v>
                </c:pt>
                <c:pt idx="15">
                  <c:v>10.5</c:v>
                </c:pt>
                <c:pt idx="16">
                  <c:v>11</c:v>
                </c:pt>
                <c:pt idx="17">
                  <c:v>11.5</c:v>
                </c:pt>
                <c:pt idx="18">
                  <c:v>12</c:v>
                </c:pt>
                <c:pt idx="19">
                  <c:v>12.5</c:v>
                </c:pt>
                <c:pt idx="20">
                  <c:v>13</c:v>
                </c:pt>
                <c:pt idx="21">
                  <c:v>13.5</c:v>
                </c:pt>
                <c:pt idx="22">
                  <c:v>14</c:v>
                </c:pt>
                <c:pt idx="23">
                  <c:v>14.5</c:v>
                </c:pt>
              </c:numCache>
            </c:numRef>
          </c:xVal>
          <c:yVal>
            <c:numRef>
              <c:f>'ex4'!$C$2:$C$25</c:f>
              <c:numCache>
                <c:formatCode>General</c:formatCode>
                <c:ptCount val="24"/>
                <c:pt idx="0">
                  <c:v>6.9230769230769287</c:v>
                </c:pt>
                <c:pt idx="1">
                  <c:v>7.7777777777777812</c:v>
                </c:pt>
                <c:pt idx="2">
                  <c:v>8.5714285714285712</c:v>
                </c:pt>
                <c:pt idx="3">
                  <c:v>9.3103448275862046</c:v>
                </c:pt>
                <c:pt idx="4">
                  <c:v>10.000000000000005</c:v>
                </c:pt>
                <c:pt idx="5">
                  <c:v>10.645161290322584</c:v>
                </c:pt>
                <c:pt idx="6">
                  <c:v>11.249999999999998</c:v>
                </c:pt>
                <c:pt idx="7">
                  <c:v>11.818181818181824</c:v>
                </c:pt>
                <c:pt idx="8">
                  <c:v>12.352941176470591</c:v>
                </c:pt>
                <c:pt idx="9">
                  <c:v>12.857142857142858</c:v>
                </c:pt>
                <c:pt idx="10">
                  <c:v>13.333333333333332</c:v>
                </c:pt>
                <c:pt idx="11">
                  <c:v>13.783783783783786</c:v>
                </c:pt>
                <c:pt idx="12">
                  <c:v>14.210526315789476</c:v>
                </c:pt>
                <c:pt idx="13">
                  <c:v>14.615384615384617</c:v>
                </c:pt>
                <c:pt idx="14">
                  <c:v>15</c:v>
                </c:pt>
                <c:pt idx="15">
                  <c:v>15.365853658536588</c:v>
                </c:pt>
                <c:pt idx="16">
                  <c:v>15.714285714285717</c:v>
                </c:pt>
                <c:pt idx="17">
                  <c:v>16.04651162790698</c:v>
                </c:pt>
                <c:pt idx="18">
                  <c:v>16.363636363636363</c:v>
                </c:pt>
                <c:pt idx="19">
                  <c:v>16.666666666666671</c:v>
                </c:pt>
                <c:pt idx="20">
                  <c:v>16.956521739130437</c:v>
                </c:pt>
                <c:pt idx="21">
                  <c:v>17.23404255319149</c:v>
                </c:pt>
                <c:pt idx="22">
                  <c:v>17.500000000000004</c:v>
                </c:pt>
                <c:pt idx="23">
                  <c:v>17.755102040816325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1D3-4F55-A054-7DC9E2821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5696312"/>
        <c:axId val="735695656"/>
      </c:scatterChart>
      <c:valAx>
        <c:axId val="735696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695656"/>
        <c:crosses val="autoZero"/>
        <c:crossBetween val="midCat"/>
      </c:valAx>
      <c:valAx>
        <c:axId val="735695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696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26</xdr:row>
      <xdr:rowOff>111624</xdr:rowOff>
    </xdr:from>
    <xdr:to>
      <xdr:col>4</xdr:col>
      <xdr:colOff>1489289</xdr:colOff>
      <xdr:row>37</xdr:row>
      <xdr:rowOff>171848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454B8CB-9EE6-4410-98AB-DC57104167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874124"/>
          <a:ext cx="5447879" cy="2050949"/>
        </a:xfrm>
        <a:prstGeom prst="rect">
          <a:avLst/>
        </a:prstGeom>
      </xdr:spPr>
    </xdr:pic>
    <xdr:clientData/>
  </xdr:twoCellAnchor>
  <xdr:twoCellAnchor editAs="oneCell">
    <xdr:from>
      <xdr:col>5</xdr:col>
      <xdr:colOff>454222</xdr:colOff>
      <xdr:row>26</xdr:row>
      <xdr:rowOff>53340</xdr:rowOff>
    </xdr:from>
    <xdr:to>
      <xdr:col>13</xdr:col>
      <xdr:colOff>40040</xdr:colOff>
      <xdr:row>39</xdr:row>
      <xdr:rowOff>91545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27A71C4-0E5F-48AA-9601-CF3A9161AB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59572" y="4819650"/>
          <a:ext cx="5491318" cy="2387070"/>
        </a:xfrm>
        <a:prstGeom prst="rect">
          <a:avLst/>
        </a:prstGeom>
      </xdr:spPr>
    </xdr:pic>
    <xdr:clientData/>
  </xdr:twoCellAnchor>
  <xdr:twoCellAnchor editAs="oneCell">
    <xdr:from>
      <xdr:col>12</xdr:col>
      <xdr:colOff>466725</xdr:colOff>
      <xdr:row>18</xdr:row>
      <xdr:rowOff>167640</xdr:rowOff>
    </xdr:from>
    <xdr:to>
      <xdr:col>17</xdr:col>
      <xdr:colOff>171107</xdr:colOff>
      <xdr:row>40</xdr:row>
      <xdr:rowOff>130950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1A05B65-3F02-477E-864A-E6B46AE2B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469880" y="3476625"/>
          <a:ext cx="2750477" cy="39504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26</xdr:row>
      <xdr:rowOff>111624</xdr:rowOff>
    </xdr:from>
    <xdr:to>
      <xdr:col>5</xdr:col>
      <xdr:colOff>742529</xdr:colOff>
      <xdr:row>37</xdr:row>
      <xdr:rowOff>171848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71C3D78-DB02-4BDF-8DD2-118749A4CC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121774"/>
          <a:ext cx="5375489" cy="2151914"/>
        </a:xfrm>
        <a:prstGeom prst="rect">
          <a:avLst/>
        </a:prstGeom>
      </xdr:spPr>
    </xdr:pic>
    <xdr:clientData/>
  </xdr:twoCellAnchor>
  <xdr:twoCellAnchor editAs="oneCell">
    <xdr:from>
      <xdr:col>5</xdr:col>
      <xdr:colOff>454222</xdr:colOff>
      <xdr:row>26</xdr:row>
      <xdr:rowOff>53340</xdr:rowOff>
    </xdr:from>
    <xdr:to>
      <xdr:col>13</xdr:col>
      <xdr:colOff>40040</xdr:colOff>
      <xdr:row>39</xdr:row>
      <xdr:rowOff>91545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C1B2C17-2F18-463B-A832-70C2161935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83372" y="5063490"/>
          <a:ext cx="5405593" cy="2518515"/>
        </a:xfrm>
        <a:prstGeom prst="rect">
          <a:avLst/>
        </a:prstGeom>
      </xdr:spPr>
    </xdr:pic>
    <xdr:clientData/>
  </xdr:twoCellAnchor>
  <xdr:twoCellAnchor editAs="oneCell">
    <xdr:from>
      <xdr:col>12</xdr:col>
      <xdr:colOff>466725</xdr:colOff>
      <xdr:row>18</xdr:row>
      <xdr:rowOff>167640</xdr:rowOff>
    </xdr:from>
    <xdr:to>
      <xdr:col>17</xdr:col>
      <xdr:colOff>171107</xdr:colOff>
      <xdr:row>40</xdr:row>
      <xdr:rowOff>130950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864D8F0-65B3-44A4-A1A2-D81E9EFDEB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306050" y="3644265"/>
          <a:ext cx="2756192" cy="416764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552450</xdr:colOff>
      <xdr:row>2</xdr:row>
      <xdr:rowOff>5715</xdr:rowOff>
    </xdr:from>
    <xdr:to>
      <xdr:col>13</xdr:col>
      <xdr:colOff>247650</xdr:colOff>
      <xdr:row>17</xdr:row>
      <xdr:rowOff>40005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AC4F6B-7D30-493B-9E57-7C8699C905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371475</xdr:colOff>
      <xdr:row>1</xdr:row>
      <xdr:rowOff>100965</xdr:rowOff>
    </xdr:from>
    <xdr:to>
      <xdr:col>13</xdr:col>
      <xdr:colOff>66675</xdr:colOff>
      <xdr:row>16</xdr:row>
      <xdr:rowOff>135255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91B6396-DE34-4028-9C66-097D7BECAD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B0E53-E631-4675-BD43-347C7F7783B1}">
  <sheetPr codeName="Sheet3"/>
  <dimension ref="A1:M25"/>
  <sheetViews>
    <sheetView tabSelected="1" zoomScaleNormal="100" workbookViewId="0">
      <selection activeCell="E25" sqref="E25"/>
    </sheetView>
  </sheetViews>
  <sheetFormatPr defaultRowHeight="14.4" x14ac:dyDescent="0.3"/>
  <cols>
    <col min="2" max="2" width="12" bestFit="1" customWidth="1"/>
    <col min="3" max="3" width="14.21875" customWidth="1"/>
    <col min="4" max="4" width="22.77734375" customWidth="1"/>
    <col min="5" max="5" width="30" customWidth="1"/>
    <col min="6" max="6" width="15" customWidth="1"/>
    <col min="7" max="7" width="16.88671875" customWidth="1"/>
    <col min="10" max="10" width="9.6640625" bestFit="1" customWidth="1"/>
  </cols>
  <sheetData>
    <row r="1" spans="1:13" s="1" customFormat="1" ht="15" thickBot="1" x14ac:dyDescent="0.35">
      <c r="A1" s="1" t="s">
        <v>0</v>
      </c>
      <c r="B1" s="1" t="s">
        <v>1</v>
      </c>
      <c r="C1" s="1" t="s">
        <v>35</v>
      </c>
      <c r="D1" s="1" t="s">
        <v>41</v>
      </c>
    </row>
    <row r="2" spans="1:13" ht="15" thickBot="1" x14ac:dyDescent="0.35">
      <c r="A2" t="s">
        <v>2</v>
      </c>
      <c r="B2" s="2">
        <f>C2/60</f>
        <v>0.24166666666666667</v>
      </c>
      <c r="C2">
        <v>14.5</v>
      </c>
      <c r="D2" s="14">
        <v>100</v>
      </c>
      <c r="F2" s="3" t="s">
        <v>3</v>
      </c>
      <c r="G2" s="4">
        <v>30</v>
      </c>
      <c r="I2" t="s">
        <v>40</v>
      </c>
    </row>
    <row r="3" spans="1:13" x14ac:dyDescent="0.3">
      <c r="A3" t="s">
        <v>4</v>
      </c>
      <c r="B3" s="2">
        <f t="shared" ref="B3:B5" si="0">C3/60</f>
        <v>0.16666666666666666</v>
      </c>
      <c r="C3">
        <v>10</v>
      </c>
      <c r="D3" s="14">
        <v>150</v>
      </c>
    </row>
    <row r="4" spans="1:13" x14ac:dyDescent="0.3">
      <c r="A4" t="s">
        <v>5</v>
      </c>
      <c r="B4" s="2">
        <f t="shared" si="0"/>
        <v>6.6666666666666666E-2</v>
      </c>
      <c r="C4">
        <v>4</v>
      </c>
      <c r="D4" s="14">
        <v>150</v>
      </c>
    </row>
    <row r="5" spans="1:13" x14ac:dyDescent="0.3">
      <c r="A5" t="s">
        <v>6</v>
      </c>
      <c r="B5" s="2">
        <f t="shared" si="0"/>
        <v>0.33333333333333331</v>
      </c>
      <c r="C5">
        <v>20</v>
      </c>
      <c r="D5" s="14">
        <v>150</v>
      </c>
      <c r="E5" s="5" t="s">
        <v>7</v>
      </c>
      <c r="F5" s="6">
        <f>SUM(G8:G17)+H8</f>
        <v>817.34695306122444</v>
      </c>
    </row>
    <row r="6" spans="1:13" ht="15" thickBot="1" x14ac:dyDescent="0.35">
      <c r="A6" s="7" t="s">
        <v>8</v>
      </c>
      <c r="B6">
        <v>1000000</v>
      </c>
    </row>
    <row r="7" spans="1:13" s="8" customFormat="1" ht="15" thickBot="1" x14ac:dyDescent="0.35">
      <c r="A7" s="3" t="s">
        <v>9</v>
      </c>
      <c r="D7" s="8" t="s">
        <v>10</v>
      </c>
      <c r="E7" s="8" t="s">
        <v>11</v>
      </c>
      <c r="F7" s="8" t="s">
        <v>12</v>
      </c>
      <c r="G7" s="8" t="s">
        <v>13</v>
      </c>
      <c r="H7" s="8" t="s">
        <v>14</v>
      </c>
      <c r="J7" s="8" t="s">
        <v>15</v>
      </c>
      <c r="M7" s="10" t="s">
        <v>39</v>
      </c>
    </row>
    <row r="8" spans="1:13" x14ac:dyDescent="0.3">
      <c r="A8" s="13" t="s">
        <v>16</v>
      </c>
      <c r="B8" s="13"/>
      <c r="C8" s="9">
        <v>17.755102040816325</v>
      </c>
      <c r="D8">
        <v>25</v>
      </c>
      <c r="E8" s="2">
        <f>B2</f>
        <v>0.24166666666666667</v>
      </c>
      <c r="F8" s="2">
        <f>B20</f>
        <v>73.469387755102048</v>
      </c>
      <c r="G8">
        <f>C8*D8</f>
        <v>443.87755102040813</v>
      </c>
      <c r="H8" s="2">
        <f>SUM(B20:B24)</f>
        <v>104.08164693877552</v>
      </c>
      <c r="J8" s="2">
        <f>E8*F8</f>
        <v>17.755102040816329</v>
      </c>
      <c r="M8" s="14">
        <f>E8*D2</f>
        <v>24.166666666666668</v>
      </c>
    </row>
    <row r="9" spans="1:13" x14ac:dyDescent="0.3">
      <c r="A9" s="12" t="s">
        <v>17</v>
      </c>
      <c r="B9" s="12"/>
      <c r="C9" s="9">
        <v>12.244897959183671</v>
      </c>
      <c r="D9">
        <v>7</v>
      </c>
      <c r="E9" s="2">
        <f>B3</f>
        <v>0.16666666666666666</v>
      </c>
      <c r="F9" s="2">
        <f>B20</f>
        <v>73.469387755102048</v>
      </c>
      <c r="G9">
        <f>C9*D9</f>
        <v>85.714285714285694</v>
      </c>
      <c r="J9" s="2">
        <f t="shared" ref="J9:J17" si="1">E9*F9</f>
        <v>12.244897959183675</v>
      </c>
      <c r="M9" s="14">
        <f>E9*150</f>
        <v>25</v>
      </c>
    </row>
    <row r="10" spans="1:13" x14ac:dyDescent="0.3">
      <c r="A10" s="12" t="s">
        <v>18</v>
      </c>
      <c r="B10" s="12"/>
      <c r="C10" s="9">
        <v>12.244897959183671</v>
      </c>
      <c r="D10">
        <v>6</v>
      </c>
      <c r="E10" s="2">
        <f>B6</f>
        <v>1000000</v>
      </c>
      <c r="F10" s="2">
        <f>B21</f>
        <v>1.2244897959183669E-5</v>
      </c>
      <c r="G10">
        <f t="shared" ref="G10:G17" si="2">C10*D10</f>
        <v>73.469387755102019</v>
      </c>
      <c r="J10" s="2">
        <f t="shared" si="1"/>
        <v>12.244897959183669</v>
      </c>
      <c r="M10" s="14">
        <f t="shared" ref="M10:M17" si="3">E10*150</f>
        <v>150000000</v>
      </c>
    </row>
    <row r="11" spans="1:13" x14ac:dyDescent="0.3">
      <c r="A11" s="12" t="s">
        <v>19</v>
      </c>
      <c r="B11" s="12"/>
      <c r="C11" s="9">
        <v>10.204081632653059</v>
      </c>
      <c r="D11">
        <v>10</v>
      </c>
      <c r="E11" s="2">
        <f>B5</f>
        <v>0.33333333333333331</v>
      </c>
      <c r="F11" s="2">
        <f>B22</f>
        <v>30.612244897959183</v>
      </c>
      <c r="G11">
        <f>C11*D11</f>
        <v>102.04081632653059</v>
      </c>
      <c r="J11" s="2">
        <f t="shared" si="1"/>
        <v>10.204081632653061</v>
      </c>
      <c r="M11" s="14">
        <f t="shared" si="3"/>
        <v>50</v>
      </c>
    </row>
    <row r="12" spans="1:13" x14ac:dyDescent="0.3">
      <c r="A12" s="12" t="s">
        <v>20</v>
      </c>
      <c r="B12" s="12"/>
      <c r="C12" s="9">
        <v>0</v>
      </c>
      <c r="D12">
        <v>0</v>
      </c>
      <c r="E12" s="2">
        <f>B6</f>
        <v>1000000</v>
      </c>
      <c r="F12" s="2">
        <f>B21</f>
        <v>1.2244897959183669E-5</v>
      </c>
      <c r="G12">
        <f t="shared" si="2"/>
        <v>0</v>
      </c>
      <c r="J12" s="2">
        <f t="shared" si="1"/>
        <v>12.244897959183669</v>
      </c>
      <c r="M12" s="14">
        <f t="shared" si="3"/>
        <v>150000000</v>
      </c>
    </row>
    <row r="13" spans="1:13" x14ac:dyDescent="0.3">
      <c r="A13" s="12" t="s">
        <v>21</v>
      </c>
      <c r="B13" s="12"/>
      <c r="C13" s="9">
        <v>0</v>
      </c>
      <c r="D13">
        <v>0</v>
      </c>
      <c r="E13" s="2">
        <f>B3</f>
        <v>0.16666666666666666</v>
      </c>
      <c r="F13" s="2">
        <f>B23</f>
        <v>0</v>
      </c>
      <c r="G13">
        <f>C13*D13</f>
        <v>0</v>
      </c>
      <c r="J13" s="2">
        <f t="shared" si="1"/>
        <v>0</v>
      </c>
      <c r="M13" s="14">
        <f t="shared" si="3"/>
        <v>25</v>
      </c>
    </row>
    <row r="14" spans="1:13" x14ac:dyDescent="0.3">
      <c r="A14" s="12" t="s">
        <v>22</v>
      </c>
      <c r="B14" s="12"/>
      <c r="C14" s="9">
        <v>2.0408163265306123</v>
      </c>
      <c r="D14">
        <v>0</v>
      </c>
      <c r="E14" s="2">
        <f>B4</f>
        <v>6.6666666666666666E-2</v>
      </c>
      <c r="F14" s="2">
        <f>B22</f>
        <v>30.612244897959183</v>
      </c>
      <c r="G14">
        <f t="shared" si="2"/>
        <v>0</v>
      </c>
      <c r="J14" s="2">
        <f t="shared" si="1"/>
        <v>2.0408163265306123</v>
      </c>
      <c r="M14" s="14">
        <f t="shared" si="3"/>
        <v>10</v>
      </c>
    </row>
    <row r="15" spans="1:13" x14ac:dyDescent="0.3">
      <c r="A15" s="12" t="s">
        <v>23</v>
      </c>
      <c r="B15" s="12"/>
      <c r="C15" s="9">
        <v>0</v>
      </c>
      <c r="D15">
        <v>0</v>
      </c>
      <c r="E15" s="2">
        <f>B6</f>
        <v>1000000</v>
      </c>
      <c r="F15" s="2">
        <f>B24</f>
        <v>2.0408163265306117E-6</v>
      </c>
      <c r="G15">
        <f>C15*D15</f>
        <v>0</v>
      </c>
      <c r="J15" s="2">
        <f t="shared" si="1"/>
        <v>2.0408163265306118</v>
      </c>
      <c r="M15" s="14">
        <f t="shared" si="3"/>
        <v>150000000</v>
      </c>
    </row>
    <row r="16" spans="1:13" x14ac:dyDescent="0.3">
      <c r="A16" s="12" t="s">
        <v>24</v>
      </c>
      <c r="B16" s="12"/>
      <c r="C16" s="9">
        <v>0</v>
      </c>
      <c r="D16">
        <v>4</v>
      </c>
      <c r="E16" s="2">
        <f>B4</f>
        <v>6.6666666666666666E-2</v>
      </c>
      <c r="F16" s="2">
        <f>B23</f>
        <v>0</v>
      </c>
      <c r="G16">
        <f t="shared" si="2"/>
        <v>0</v>
      </c>
      <c r="J16" s="2">
        <f t="shared" si="1"/>
        <v>0</v>
      </c>
      <c r="M16" s="14">
        <f t="shared" si="3"/>
        <v>10</v>
      </c>
    </row>
    <row r="17" spans="1:13" x14ac:dyDescent="0.3">
      <c r="A17" s="12" t="s">
        <v>25</v>
      </c>
      <c r="B17" s="12"/>
      <c r="C17" s="9">
        <v>2.0408163265306123</v>
      </c>
      <c r="D17">
        <v>4</v>
      </c>
      <c r="E17" s="2">
        <f>B6</f>
        <v>1000000</v>
      </c>
      <c r="F17" s="2">
        <f>B24</f>
        <v>2.0408163265306117E-6</v>
      </c>
      <c r="G17">
        <f t="shared" si="2"/>
        <v>8.1632653061224492</v>
      </c>
      <c r="J17" s="2">
        <f t="shared" si="1"/>
        <v>2.0408163265306118</v>
      </c>
      <c r="M17" s="14">
        <f t="shared" si="3"/>
        <v>150000000</v>
      </c>
    </row>
    <row r="18" spans="1:13" ht="15" thickBot="1" x14ac:dyDescent="0.35"/>
    <row r="19" spans="1:13" s="8" customFormat="1" ht="15" thickBot="1" x14ac:dyDescent="0.35">
      <c r="A19" s="3" t="s">
        <v>26</v>
      </c>
      <c r="B19" s="8" t="s">
        <v>27</v>
      </c>
      <c r="E19" s="10" t="s">
        <v>28</v>
      </c>
      <c r="F19" s="10" t="s">
        <v>29</v>
      </c>
    </row>
    <row r="20" spans="1:13" x14ac:dyDescent="0.3">
      <c r="A20" t="s">
        <v>30</v>
      </c>
      <c r="B20" s="9">
        <v>73.469387755102048</v>
      </c>
      <c r="E20">
        <f>G2</f>
        <v>30</v>
      </c>
      <c r="F20">
        <f>C8+C9</f>
        <v>29.999999999999996</v>
      </c>
      <c r="G20">
        <f>E20-F20</f>
        <v>0</v>
      </c>
    </row>
    <row r="21" spans="1:13" x14ac:dyDescent="0.3">
      <c r="A21" t="s">
        <v>31</v>
      </c>
      <c r="B21" s="9">
        <v>1.2244897959183669E-5</v>
      </c>
      <c r="E21">
        <f>C9+C13</f>
        <v>12.244897959183671</v>
      </c>
      <c r="F21">
        <f>C10+C12</f>
        <v>12.244897959183671</v>
      </c>
      <c r="G21">
        <f t="shared" ref="G21:G25" si="4">E21-F21</f>
        <v>0</v>
      </c>
    </row>
    <row r="22" spans="1:13" x14ac:dyDescent="0.3">
      <c r="A22" t="s">
        <v>32</v>
      </c>
      <c r="B22" s="9">
        <v>30.612244897959183</v>
      </c>
      <c r="E22">
        <f>C15+C10</f>
        <v>12.244897959183671</v>
      </c>
      <c r="F22">
        <f>C11+C14</f>
        <v>12.244897959183671</v>
      </c>
      <c r="G22">
        <f t="shared" si="4"/>
        <v>0</v>
      </c>
    </row>
    <row r="23" spans="1:13" x14ac:dyDescent="0.3">
      <c r="A23" t="s">
        <v>33</v>
      </c>
      <c r="B23" s="9">
        <v>0</v>
      </c>
      <c r="E23">
        <f>C8+C11+C17</f>
        <v>29.999999999999996</v>
      </c>
      <c r="F23">
        <f>G2</f>
        <v>30</v>
      </c>
      <c r="G23">
        <f t="shared" si="4"/>
        <v>0</v>
      </c>
    </row>
    <row r="24" spans="1:13" x14ac:dyDescent="0.3">
      <c r="A24" t="s">
        <v>34</v>
      </c>
      <c r="B24" s="9">
        <v>2.0408163265306117E-6</v>
      </c>
      <c r="E24">
        <f>C12</f>
        <v>0</v>
      </c>
      <c r="F24">
        <f>C13+C16</f>
        <v>0</v>
      </c>
      <c r="G24">
        <f t="shared" si="4"/>
        <v>0</v>
      </c>
    </row>
    <row r="25" spans="1:13" x14ac:dyDescent="0.3">
      <c r="E25">
        <f>C14+C16</f>
        <v>2.0408163265306123</v>
      </c>
      <c r="F25">
        <f>C15+C17</f>
        <v>2.0408163265306123</v>
      </c>
      <c r="G25">
        <f t="shared" si="4"/>
        <v>0</v>
      </c>
    </row>
  </sheetData>
  <mergeCells count="10">
    <mergeCell ref="A14:B14"/>
    <mergeCell ref="A15:B15"/>
    <mergeCell ref="A16:B16"/>
    <mergeCell ref="A17:B17"/>
    <mergeCell ref="A8:B8"/>
    <mergeCell ref="A9:B9"/>
    <mergeCell ref="A10:B10"/>
    <mergeCell ref="A11:B11"/>
    <mergeCell ref="A12:B12"/>
    <mergeCell ref="A13:B13"/>
  </mergeCells>
  <pageMargins left="0.7" right="0.7" top="0.75" bottom="0.75" header="0.3" footer="0.3"/>
  <pageSetup paperSize="9" orientation="portrait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1DDFF-813C-4DF1-B21E-B074D394C366}">
  <sheetPr codeName="Sheet1"/>
  <dimension ref="A1:M25"/>
  <sheetViews>
    <sheetView zoomScaleNormal="100" workbookViewId="0">
      <selection activeCell="B2" sqref="B2:C5"/>
    </sheetView>
  </sheetViews>
  <sheetFormatPr defaultRowHeight="14.4" x14ac:dyDescent="0.3"/>
  <cols>
    <col min="2" max="2" width="12" bestFit="1" customWidth="1"/>
    <col min="5" max="5" width="30" customWidth="1"/>
    <col min="6" max="6" width="15" customWidth="1"/>
    <col min="7" max="7" width="16.88671875" customWidth="1"/>
    <col min="10" max="10" width="9.6640625" bestFit="1" customWidth="1"/>
  </cols>
  <sheetData>
    <row r="1" spans="1:13" s="1" customFormat="1" ht="15" thickBot="1" x14ac:dyDescent="0.35">
      <c r="A1" s="1" t="s">
        <v>0</v>
      </c>
      <c r="B1" s="1" t="s">
        <v>1</v>
      </c>
      <c r="C1" s="1" t="s">
        <v>35</v>
      </c>
    </row>
    <row r="2" spans="1:13" ht="15" thickBot="1" x14ac:dyDescent="0.35">
      <c r="A2" t="s">
        <v>2</v>
      </c>
      <c r="B2" s="2">
        <f>C2/60</f>
        <v>0.24166666666666667</v>
      </c>
      <c r="C2">
        <v>14.5</v>
      </c>
      <c r="F2" s="3" t="s">
        <v>3</v>
      </c>
      <c r="G2" s="4">
        <v>1000</v>
      </c>
      <c r="J2" s="11" t="s">
        <v>37</v>
      </c>
      <c r="K2" s="11">
        <f>C8*50-C2*500</f>
        <v>22341.836734693879</v>
      </c>
    </row>
    <row r="3" spans="1:13" x14ac:dyDescent="0.3">
      <c r="A3" t="s">
        <v>4</v>
      </c>
      <c r="B3" s="2">
        <f t="shared" ref="B3:B5" si="0">C3/60</f>
        <v>0.16666666666666666</v>
      </c>
      <c r="C3">
        <v>10</v>
      </c>
    </row>
    <row r="4" spans="1:13" x14ac:dyDescent="0.3">
      <c r="A4" t="s">
        <v>5</v>
      </c>
      <c r="B4" s="2">
        <f t="shared" si="0"/>
        <v>6.6666666666666666E-2</v>
      </c>
      <c r="C4">
        <v>4</v>
      </c>
    </row>
    <row r="5" spans="1:13" x14ac:dyDescent="0.3">
      <c r="A5" t="s">
        <v>6</v>
      </c>
      <c r="B5" s="2">
        <f t="shared" si="0"/>
        <v>0.33333333333333331</v>
      </c>
      <c r="C5">
        <v>20</v>
      </c>
      <c r="E5" s="5" t="s">
        <v>7</v>
      </c>
      <c r="F5" s="6">
        <f>SUM(G8:G17)+H8</f>
        <v>27244.898435374147</v>
      </c>
    </row>
    <row r="6" spans="1:13" ht="15" thickBot="1" x14ac:dyDescent="0.35">
      <c r="A6" s="7" t="s">
        <v>8</v>
      </c>
      <c r="B6">
        <v>1000000</v>
      </c>
    </row>
    <row r="7" spans="1:13" s="8" customFormat="1" ht="15" thickBot="1" x14ac:dyDescent="0.35">
      <c r="A7" s="3" t="s">
        <v>9</v>
      </c>
      <c r="D7" s="8" t="s">
        <v>10</v>
      </c>
      <c r="E7" s="8" t="s">
        <v>11</v>
      </c>
      <c r="F7" s="8" t="s">
        <v>12</v>
      </c>
      <c r="G7" s="8" t="s">
        <v>13</v>
      </c>
      <c r="H7" s="8" t="s">
        <v>14</v>
      </c>
      <c r="J7" s="8" t="s">
        <v>15</v>
      </c>
    </row>
    <row r="8" spans="1:13" x14ac:dyDescent="0.3">
      <c r="A8" s="13" t="s">
        <v>16</v>
      </c>
      <c r="B8" s="13"/>
      <c r="C8" s="9">
        <v>591.83673469387759</v>
      </c>
      <c r="D8">
        <v>25</v>
      </c>
      <c r="E8" s="2">
        <f>B2</f>
        <v>0.24166666666666667</v>
      </c>
      <c r="F8" s="2">
        <f>B20</f>
        <v>2448.9795918367349</v>
      </c>
      <c r="G8">
        <f>C8*D8</f>
        <v>14795.91836734694</v>
      </c>
      <c r="H8" s="2">
        <f>SUM(B20:B24)</f>
        <v>3469.388231292517</v>
      </c>
      <c r="J8" s="2">
        <f>E8*F8</f>
        <v>591.83673469387759</v>
      </c>
      <c r="K8">
        <v>1</v>
      </c>
      <c r="M8">
        <v>0</v>
      </c>
    </row>
    <row r="9" spans="1:13" x14ac:dyDescent="0.3">
      <c r="A9" s="12" t="s">
        <v>17</v>
      </c>
      <c r="B9" s="12"/>
      <c r="C9" s="9">
        <v>408.16326530612236</v>
      </c>
      <c r="D9">
        <v>7</v>
      </c>
      <c r="E9" s="2">
        <f>B3</f>
        <v>0.16666666666666666</v>
      </c>
      <c r="F9" s="2">
        <f>B20</f>
        <v>2448.9795918367349</v>
      </c>
      <c r="G9">
        <f>C9*D9</f>
        <v>2857.1428571428564</v>
      </c>
      <c r="J9" s="2">
        <f t="shared" ref="J9:J17" si="1">E9*F9</f>
        <v>408.16326530612247</v>
      </c>
      <c r="K9">
        <v>2</v>
      </c>
      <c r="M9">
        <v>0</v>
      </c>
    </row>
    <row r="10" spans="1:13" x14ac:dyDescent="0.3">
      <c r="A10" s="12" t="s">
        <v>18</v>
      </c>
      <c r="B10" s="12"/>
      <c r="C10" s="9">
        <v>408.16326530612236</v>
      </c>
      <c r="D10">
        <v>6</v>
      </c>
      <c r="E10" s="2">
        <f>B6</f>
        <v>1000000</v>
      </c>
      <c r="F10" s="2">
        <f>B21</f>
        <v>4.0816326530612236E-4</v>
      </c>
      <c r="G10">
        <f t="shared" ref="G10:G17" si="2">C10*D10</f>
        <v>2448.979591836734</v>
      </c>
      <c r="J10" s="2">
        <f t="shared" si="1"/>
        <v>408.16326530612236</v>
      </c>
      <c r="K10">
        <v>3</v>
      </c>
      <c r="M10">
        <v>0</v>
      </c>
    </row>
    <row r="11" spans="1:13" x14ac:dyDescent="0.3">
      <c r="A11" s="12" t="s">
        <v>19</v>
      </c>
      <c r="B11" s="12"/>
      <c r="C11" s="9">
        <v>340.13605442176862</v>
      </c>
      <c r="D11">
        <v>10</v>
      </c>
      <c r="E11" s="2">
        <f>B5</f>
        <v>0.33333333333333331</v>
      </c>
      <c r="F11" s="2">
        <f>B22</f>
        <v>1020.4081632653061</v>
      </c>
      <c r="G11">
        <f>C11*D11</f>
        <v>3401.3605442176863</v>
      </c>
      <c r="J11" s="2">
        <f t="shared" si="1"/>
        <v>340.13605442176868</v>
      </c>
      <c r="K11">
        <v>4</v>
      </c>
      <c r="M11">
        <v>0</v>
      </c>
    </row>
    <row r="12" spans="1:13" x14ac:dyDescent="0.3">
      <c r="A12" s="12" t="s">
        <v>20</v>
      </c>
      <c r="B12" s="12"/>
      <c r="C12" s="9">
        <v>0</v>
      </c>
      <c r="D12">
        <v>0</v>
      </c>
      <c r="E12" s="2">
        <f>B6</f>
        <v>1000000</v>
      </c>
      <c r="F12" s="2">
        <f>B21</f>
        <v>4.0816326530612236E-4</v>
      </c>
      <c r="G12">
        <f t="shared" si="2"/>
        <v>0</v>
      </c>
      <c r="J12" s="2">
        <f t="shared" si="1"/>
        <v>408.16326530612236</v>
      </c>
      <c r="K12">
        <v>5</v>
      </c>
      <c r="M12">
        <v>0</v>
      </c>
    </row>
    <row r="13" spans="1:13" x14ac:dyDescent="0.3">
      <c r="A13" s="12" t="s">
        <v>21</v>
      </c>
      <c r="B13" s="12"/>
      <c r="C13" s="9">
        <v>0</v>
      </c>
      <c r="D13">
        <v>0</v>
      </c>
      <c r="E13" s="2">
        <f>B3</f>
        <v>0.16666666666666666</v>
      </c>
      <c r="F13" s="2">
        <f>B23</f>
        <v>0</v>
      </c>
      <c r="G13">
        <f>C13*D13</f>
        <v>0</v>
      </c>
      <c r="J13" s="2">
        <f t="shared" si="1"/>
        <v>0</v>
      </c>
      <c r="K13">
        <v>6</v>
      </c>
      <c r="M13">
        <v>0</v>
      </c>
    </row>
    <row r="14" spans="1:13" x14ac:dyDescent="0.3">
      <c r="A14" s="12" t="s">
        <v>22</v>
      </c>
      <c r="B14" s="12"/>
      <c r="C14" s="9">
        <v>68.027210884353735</v>
      </c>
      <c r="D14">
        <v>0</v>
      </c>
      <c r="E14" s="2">
        <f>B4</f>
        <v>6.6666666666666666E-2</v>
      </c>
      <c r="F14" s="2">
        <f>B22</f>
        <v>1020.4081632653061</v>
      </c>
      <c r="G14">
        <f t="shared" si="2"/>
        <v>0</v>
      </c>
      <c r="J14" s="2">
        <f t="shared" si="1"/>
        <v>68.027210884353735</v>
      </c>
      <c r="K14">
        <v>7</v>
      </c>
      <c r="M14">
        <v>0</v>
      </c>
    </row>
    <row r="15" spans="1:13" x14ac:dyDescent="0.3">
      <c r="A15" s="12" t="s">
        <v>23</v>
      </c>
      <c r="B15" s="12"/>
      <c r="C15" s="9">
        <v>0</v>
      </c>
      <c r="D15">
        <v>0</v>
      </c>
      <c r="E15" s="2">
        <f>B6</f>
        <v>1000000</v>
      </c>
      <c r="F15" s="2">
        <f>B24</f>
        <v>6.8027210884353726E-5</v>
      </c>
      <c r="G15">
        <f>C15*D15</f>
        <v>0</v>
      </c>
      <c r="J15" s="2">
        <f t="shared" si="1"/>
        <v>68.027210884353721</v>
      </c>
      <c r="K15">
        <v>8</v>
      </c>
      <c r="M15">
        <v>0</v>
      </c>
    </row>
    <row r="16" spans="1:13" x14ac:dyDescent="0.3">
      <c r="A16" s="12" t="s">
        <v>24</v>
      </c>
      <c r="B16" s="12"/>
      <c r="C16" s="9">
        <v>0</v>
      </c>
      <c r="D16">
        <v>4</v>
      </c>
      <c r="E16" s="2">
        <f>B4</f>
        <v>6.6666666666666666E-2</v>
      </c>
      <c r="F16" s="2">
        <f>B23</f>
        <v>0</v>
      </c>
      <c r="G16">
        <f t="shared" si="2"/>
        <v>0</v>
      </c>
      <c r="J16" s="2">
        <f t="shared" si="1"/>
        <v>0</v>
      </c>
      <c r="K16">
        <v>9</v>
      </c>
      <c r="M16">
        <v>0</v>
      </c>
    </row>
    <row r="17" spans="1:13" x14ac:dyDescent="0.3">
      <c r="A17" s="12" t="s">
        <v>25</v>
      </c>
      <c r="B17" s="12"/>
      <c r="C17" s="9">
        <v>68.027210884353735</v>
      </c>
      <c r="D17">
        <v>4</v>
      </c>
      <c r="E17" s="2">
        <f>B6</f>
        <v>1000000</v>
      </c>
      <c r="F17" s="2">
        <f>B24</f>
        <v>6.8027210884353726E-5</v>
      </c>
      <c r="G17">
        <f t="shared" si="2"/>
        <v>272.10884353741494</v>
      </c>
      <c r="J17" s="2">
        <f t="shared" si="1"/>
        <v>68.027210884353721</v>
      </c>
      <c r="K17">
        <v>10</v>
      </c>
      <c r="M17">
        <v>0</v>
      </c>
    </row>
    <row r="18" spans="1:13" ht="15" thickBot="1" x14ac:dyDescent="0.35"/>
    <row r="19" spans="1:13" s="8" customFormat="1" ht="15" thickBot="1" x14ac:dyDescent="0.35">
      <c r="A19" s="3" t="s">
        <v>26</v>
      </c>
      <c r="B19" s="8" t="s">
        <v>27</v>
      </c>
      <c r="E19" s="10" t="s">
        <v>28</v>
      </c>
      <c r="F19" s="10" t="s">
        <v>29</v>
      </c>
    </row>
    <row r="20" spans="1:13" x14ac:dyDescent="0.3">
      <c r="A20" t="s">
        <v>30</v>
      </c>
      <c r="B20" s="9">
        <v>2448.9795918367349</v>
      </c>
      <c r="E20">
        <f>G2</f>
        <v>1000</v>
      </c>
      <c r="F20">
        <f>C8+C9</f>
        <v>1000</v>
      </c>
      <c r="G20">
        <f>E20-F20</f>
        <v>0</v>
      </c>
    </row>
    <row r="21" spans="1:13" x14ac:dyDescent="0.3">
      <c r="A21" t="s">
        <v>31</v>
      </c>
      <c r="B21" s="9">
        <v>4.0816326530612236E-4</v>
      </c>
      <c r="E21">
        <f>C9+C13</f>
        <v>408.16326530612236</v>
      </c>
      <c r="F21">
        <f>C10+C12</f>
        <v>408.16326530612236</v>
      </c>
      <c r="G21">
        <f t="shared" ref="G21:G25" si="3">E21-F21</f>
        <v>0</v>
      </c>
    </row>
    <row r="22" spans="1:13" x14ac:dyDescent="0.3">
      <c r="A22" t="s">
        <v>32</v>
      </c>
      <c r="B22" s="9">
        <v>1020.4081632653061</v>
      </c>
      <c r="E22">
        <f>C15+C10</f>
        <v>408.16326530612236</v>
      </c>
      <c r="F22">
        <f>C11+C14</f>
        <v>408.16326530612236</v>
      </c>
      <c r="G22">
        <f t="shared" si="3"/>
        <v>0</v>
      </c>
    </row>
    <row r="23" spans="1:13" x14ac:dyDescent="0.3">
      <c r="A23" t="s">
        <v>33</v>
      </c>
      <c r="B23" s="9">
        <v>0</v>
      </c>
      <c r="E23">
        <f>C8+C11+C17</f>
        <v>1000</v>
      </c>
      <c r="F23">
        <f>G2</f>
        <v>1000</v>
      </c>
      <c r="G23">
        <f t="shared" si="3"/>
        <v>0</v>
      </c>
    </row>
    <row r="24" spans="1:13" x14ac:dyDescent="0.3">
      <c r="A24" t="s">
        <v>34</v>
      </c>
      <c r="B24" s="9">
        <v>6.8027210884353726E-5</v>
      </c>
      <c r="E24">
        <f>C12</f>
        <v>0</v>
      </c>
      <c r="F24">
        <f>C13+C16</f>
        <v>0</v>
      </c>
      <c r="G24">
        <f t="shared" si="3"/>
        <v>0</v>
      </c>
    </row>
    <row r="25" spans="1:13" x14ac:dyDescent="0.3">
      <c r="E25">
        <f>C14+C16</f>
        <v>68.027210884353735</v>
      </c>
      <c r="F25">
        <f>C15+C17</f>
        <v>68.027210884353735</v>
      </c>
      <c r="G25">
        <f t="shared" si="3"/>
        <v>0</v>
      </c>
    </row>
  </sheetData>
  <mergeCells count="10">
    <mergeCell ref="A14:B14"/>
    <mergeCell ref="A15:B15"/>
    <mergeCell ref="A16:B16"/>
    <mergeCell ref="A17:B17"/>
    <mergeCell ref="A8:B8"/>
    <mergeCell ref="A9:B9"/>
    <mergeCell ref="A10:B10"/>
    <mergeCell ref="A11:B11"/>
    <mergeCell ref="A12:B12"/>
    <mergeCell ref="A13:B13"/>
  </mergeCells>
  <pageMargins left="0.7" right="0.7" top="0.75" bottom="0.75" header="0.3" footer="0.3"/>
  <pageSetup paperSize="9" orientation="portrait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1ADE1-D408-4819-A5E2-717B346FE740}">
  <sheetPr codeName="Sheet2"/>
  <dimension ref="A1:C27"/>
  <sheetViews>
    <sheetView workbookViewId="0">
      <selection activeCell="F24" sqref="F24"/>
    </sheetView>
  </sheetViews>
  <sheetFormatPr defaultRowHeight="14.4" x14ac:dyDescent="0.3"/>
  <sheetData>
    <row r="1" spans="1:3" x14ac:dyDescent="0.3">
      <c r="A1" t="s">
        <v>36</v>
      </c>
      <c r="B1" t="s">
        <v>37</v>
      </c>
      <c r="C1" t="s">
        <v>38</v>
      </c>
    </row>
    <row r="2" spans="1:3" x14ac:dyDescent="0.3">
      <c r="A2">
        <v>2</v>
      </c>
      <c r="B2">
        <v>7333.3333333333339</v>
      </c>
      <c r="C2">
        <v>166.66666666666669</v>
      </c>
    </row>
    <row r="3" spans="1:3" x14ac:dyDescent="0.3">
      <c r="A3">
        <v>2.5</v>
      </c>
      <c r="B3">
        <v>8749.9999999999964</v>
      </c>
      <c r="C3">
        <v>199.99999999999991</v>
      </c>
    </row>
    <row r="4" spans="1:3" x14ac:dyDescent="0.3">
      <c r="A4">
        <v>3</v>
      </c>
      <c r="B4">
        <v>10038.461538461546</v>
      </c>
      <c r="C4">
        <v>230.76923076923094</v>
      </c>
    </row>
    <row r="5" spans="1:3" x14ac:dyDescent="0.3">
      <c r="A5">
        <v>3.5</v>
      </c>
      <c r="B5">
        <v>11212.962962962971</v>
      </c>
      <c r="C5">
        <v>259.25925925925941</v>
      </c>
    </row>
    <row r="6" spans="1:3" x14ac:dyDescent="0.3">
      <c r="A6">
        <v>4</v>
      </c>
      <c r="B6">
        <v>12285.714285714283</v>
      </c>
      <c r="C6">
        <v>285.71428571428567</v>
      </c>
    </row>
    <row r="7" spans="1:3" x14ac:dyDescent="0.3">
      <c r="A7">
        <v>4.5</v>
      </c>
      <c r="B7">
        <v>13267.241379310341</v>
      </c>
      <c r="C7">
        <v>310.3448275862068</v>
      </c>
    </row>
    <row r="8" spans="1:3" x14ac:dyDescent="0.3">
      <c r="A8">
        <v>5</v>
      </c>
      <c r="B8">
        <v>14166.666666666675</v>
      </c>
      <c r="C8">
        <v>333.33333333333348</v>
      </c>
    </row>
    <row r="9" spans="1:3" x14ac:dyDescent="0.3">
      <c r="A9">
        <v>5.5</v>
      </c>
      <c r="B9">
        <v>14991.935483870973</v>
      </c>
      <c r="C9">
        <v>354.83870967741944</v>
      </c>
    </row>
    <row r="10" spans="1:3" x14ac:dyDescent="0.3">
      <c r="A10">
        <v>6</v>
      </c>
      <c r="B10">
        <v>15749.999999999996</v>
      </c>
      <c r="C10">
        <v>374.99999999999994</v>
      </c>
    </row>
    <row r="11" spans="1:3" x14ac:dyDescent="0.3">
      <c r="A11">
        <v>6.5</v>
      </c>
      <c r="B11">
        <v>16446.969696969707</v>
      </c>
      <c r="C11">
        <v>393.93939393939417</v>
      </c>
    </row>
    <row r="12" spans="1:3" x14ac:dyDescent="0.3">
      <c r="A12">
        <v>7</v>
      </c>
      <c r="B12">
        <v>17088.23529411765</v>
      </c>
      <c r="C12">
        <v>411.76470588235304</v>
      </c>
    </row>
    <row r="13" spans="1:3" x14ac:dyDescent="0.3">
      <c r="A13">
        <v>7.5</v>
      </c>
      <c r="B13">
        <v>17678.571428571428</v>
      </c>
      <c r="C13">
        <v>428.57142857142856</v>
      </c>
    </row>
    <row r="14" spans="1:3" x14ac:dyDescent="0.3">
      <c r="A14">
        <v>8</v>
      </c>
      <c r="B14">
        <v>18222.222222222223</v>
      </c>
      <c r="C14">
        <v>444.44444444444446</v>
      </c>
    </row>
    <row r="15" spans="1:3" x14ac:dyDescent="0.3">
      <c r="A15">
        <v>8.5</v>
      </c>
      <c r="B15">
        <v>18722.972972972981</v>
      </c>
      <c r="C15">
        <v>459.45945945945959</v>
      </c>
    </row>
    <row r="16" spans="1:3" x14ac:dyDescent="0.3">
      <c r="A16">
        <v>9</v>
      </c>
      <c r="B16">
        <v>19184.210526315794</v>
      </c>
      <c r="C16">
        <v>473.68421052631584</v>
      </c>
    </row>
    <row r="17" spans="1:3" x14ac:dyDescent="0.3">
      <c r="A17">
        <v>9.5</v>
      </c>
      <c r="B17">
        <v>19608.974358974359</v>
      </c>
      <c r="C17">
        <v>487.17948717948718</v>
      </c>
    </row>
    <row r="18" spans="1:3" x14ac:dyDescent="0.3">
      <c r="A18">
        <v>10</v>
      </c>
      <c r="B18">
        <v>20000</v>
      </c>
      <c r="C18">
        <v>500</v>
      </c>
    </row>
    <row r="19" spans="1:3" x14ac:dyDescent="0.3">
      <c r="A19">
        <v>10.5</v>
      </c>
      <c r="B19">
        <v>20359.756097560978</v>
      </c>
      <c r="C19">
        <v>512.19512195121956</v>
      </c>
    </row>
    <row r="20" spans="1:3" x14ac:dyDescent="0.3">
      <c r="A20">
        <v>11</v>
      </c>
      <c r="B20">
        <v>20690.476190476191</v>
      </c>
      <c r="C20">
        <v>523.80952380952385</v>
      </c>
    </row>
    <row r="21" spans="1:3" x14ac:dyDescent="0.3">
      <c r="A21">
        <v>11.5</v>
      </c>
      <c r="B21">
        <v>20994.18604651163</v>
      </c>
      <c r="C21">
        <v>534.88372093023258</v>
      </c>
    </row>
    <row r="22" spans="1:3" x14ac:dyDescent="0.3">
      <c r="A22">
        <v>12</v>
      </c>
      <c r="B22">
        <v>21272.727272727276</v>
      </c>
      <c r="C22">
        <v>545.4545454545455</v>
      </c>
    </row>
    <row r="23" spans="1:3" x14ac:dyDescent="0.3">
      <c r="A23">
        <v>12.5</v>
      </c>
      <c r="B23">
        <v>21527.777777777781</v>
      </c>
      <c r="C23">
        <v>555.55555555555566</v>
      </c>
    </row>
    <row r="24" spans="1:3" x14ac:dyDescent="0.3">
      <c r="A24">
        <v>13</v>
      </c>
      <c r="B24">
        <v>21760.869565217399</v>
      </c>
      <c r="C24">
        <v>565.21739130434798</v>
      </c>
    </row>
    <row r="25" spans="1:3" x14ac:dyDescent="0.3">
      <c r="A25">
        <v>13.5</v>
      </c>
      <c r="B25">
        <v>21973.404255319143</v>
      </c>
      <c r="C25">
        <v>574.46808510638289</v>
      </c>
    </row>
    <row r="26" spans="1:3" x14ac:dyDescent="0.3">
      <c r="A26">
        <v>14</v>
      </c>
      <c r="B26">
        <v>22166.666666666675</v>
      </c>
      <c r="C26">
        <v>583.33333333333348</v>
      </c>
    </row>
    <row r="27" spans="1:3" x14ac:dyDescent="0.3">
      <c r="A27">
        <v>14.5</v>
      </c>
      <c r="B27">
        <v>22341.836734693879</v>
      </c>
      <c r="C27">
        <v>591.83673469387759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24F90-F2DB-4EC8-9853-059617A6E568}">
  <sheetPr codeName="Sheet4"/>
  <dimension ref="A1:C25"/>
  <sheetViews>
    <sheetView workbookViewId="0">
      <selection activeCell="N19" sqref="N19"/>
    </sheetView>
  </sheetViews>
  <sheetFormatPr defaultRowHeight="14.4" x14ac:dyDescent="0.3"/>
  <sheetData>
    <row r="1" spans="1:3" x14ac:dyDescent="0.3">
      <c r="A1" t="s">
        <v>36</v>
      </c>
      <c r="B1" t="s">
        <v>42</v>
      </c>
      <c r="C1" t="s">
        <v>43</v>
      </c>
    </row>
    <row r="2" spans="1:3" x14ac:dyDescent="0.3">
      <c r="A2">
        <v>3</v>
      </c>
      <c r="B2">
        <v>5</v>
      </c>
      <c r="C2">
        <v>6.9230769230769287</v>
      </c>
    </row>
    <row r="3" spans="1:3" x14ac:dyDescent="0.3">
      <c r="A3">
        <v>3.5</v>
      </c>
      <c r="B3">
        <v>5.833333333333333</v>
      </c>
      <c r="C3">
        <v>7.7777777777777812</v>
      </c>
    </row>
    <row r="4" spans="1:3" x14ac:dyDescent="0.3">
      <c r="A4">
        <v>4</v>
      </c>
      <c r="B4">
        <v>6.666666666666667</v>
      </c>
      <c r="C4">
        <v>8.5714285714285712</v>
      </c>
    </row>
    <row r="5" spans="1:3" x14ac:dyDescent="0.3">
      <c r="A5">
        <v>4.5</v>
      </c>
      <c r="B5">
        <v>7.5</v>
      </c>
      <c r="C5">
        <v>9.3103448275862046</v>
      </c>
    </row>
    <row r="6" spans="1:3" x14ac:dyDescent="0.3">
      <c r="A6">
        <v>5</v>
      </c>
      <c r="B6">
        <v>8.3333333333333321</v>
      </c>
      <c r="C6">
        <v>10.000000000000005</v>
      </c>
    </row>
    <row r="7" spans="1:3" x14ac:dyDescent="0.3">
      <c r="A7">
        <v>5.5</v>
      </c>
      <c r="B7">
        <v>9.1666666666666661</v>
      </c>
      <c r="C7">
        <v>10.645161290322584</v>
      </c>
    </row>
    <row r="8" spans="1:3" x14ac:dyDescent="0.3">
      <c r="A8">
        <v>6</v>
      </c>
      <c r="B8">
        <v>10</v>
      </c>
      <c r="C8">
        <v>11.249999999999998</v>
      </c>
    </row>
    <row r="9" spans="1:3" x14ac:dyDescent="0.3">
      <c r="A9">
        <v>6.5</v>
      </c>
      <c r="B9">
        <v>10.833333333333334</v>
      </c>
      <c r="C9">
        <v>11.818181818181824</v>
      </c>
    </row>
    <row r="10" spans="1:3" x14ac:dyDescent="0.3">
      <c r="A10">
        <v>7</v>
      </c>
      <c r="B10">
        <v>11.666666666666666</v>
      </c>
      <c r="C10">
        <v>12.352941176470591</v>
      </c>
    </row>
    <row r="11" spans="1:3" x14ac:dyDescent="0.3">
      <c r="A11">
        <v>7.5</v>
      </c>
      <c r="B11">
        <v>12.5</v>
      </c>
      <c r="C11">
        <v>12.857142857142858</v>
      </c>
    </row>
    <row r="12" spans="1:3" x14ac:dyDescent="0.3">
      <c r="A12">
        <v>8</v>
      </c>
      <c r="B12">
        <v>13.33333333333333</v>
      </c>
      <c r="C12">
        <v>13.333333333333332</v>
      </c>
    </row>
    <row r="13" spans="1:3" x14ac:dyDescent="0.3">
      <c r="A13">
        <v>8.5</v>
      </c>
      <c r="B13">
        <v>13.783783783783779</v>
      </c>
      <c r="C13">
        <v>13.783783783783786</v>
      </c>
    </row>
    <row r="14" spans="1:3" x14ac:dyDescent="0.3">
      <c r="A14">
        <v>9</v>
      </c>
      <c r="B14">
        <v>14.210526315789476</v>
      </c>
      <c r="C14">
        <v>14.210526315789476</v>
      </c>
    </row>
    <row r="15" spans="1:3" x14ac:dyDescent="0.3">
      <c r="A15">
        <v>9.5</v>
      </c>
      <c r="B15">
        <v>14.615384615384617</v>
      </c>
      <c r="C15">
        <v>14.615384615384617</v>
      </c>
    </row>
    <row r="16" spans="1:3" x14ac:dyDescent="0.3">
      <c r="A16">
        <v>10</v>
      </c>
      <c r="B16">
        <v>15</v>
      </c>
      <c r="C16">
        <v>15</v>
      </c>
    </row>
    <row r="17" spans="1:3" x14ac:dyDescent="0.3">
      <c r="A17">
        <v>10.5</v>
      </c>
      <c r="B17">
        <v>15.365853658536592</v>
      </c>
      <c r="C17">
        <v>15.365853658536588</v>
      </c>
    </row>
    <row r="18" spans="1:3" x14ac:dyDescent="0.3">
      <c r="A18">
        <v>11</v>
      </c>
      <c r="B18">
        <v>15.714285714285715</v>
      </c>
      <c r="C18">
        <v>15.714285714285717</v>
      </c>
    </row>
    <row r="19" spans="1:3" x14ac:dyDescent="0.3">
      <c r="A19">
        <v>11.5</v>
      </c>
      <c r="B19">
        <v>16.046511627906973</v>
      </c>
      <c r="C19">
        <v>16.04651162790698</v>
      </c>
    </row>
    <row r="20" spans="1:3" x14ac:dyDescent="0.3">
      <c r="A20">
        <v>12</v>
      </c>
      <c r="B20">
        <v>16.363636363636363</v>
      </c>
      <c r="C20">
        <v>16.363636363636363</v>
      </c>
    </row>
    <row r="21" spans="1:3" x14ac:dyDescent="0.3">
      <c r="A21">
        <v>12.5</v>
      </c>
      <c r="B21">
        <v>16.666666666666675</v>
      </c>
      <c r="C21">
        <v>16.666666666666671</v>
      </c>
    </row>
    <row r="22" spans="1:3" x14ac:dyDescent="0.3">
      <c r="A22">
        <v>13</v>
      </c>
      <c r="B22">
        <v>16.956521739130437</v>
      </c>
      <c r="C22">
        <v>16.956521739130437</v>
      </c>
    </row>
    <row r="23" spans="1:3" x14ac:dyDescent="0.3">
      <c r="A23">
        <v>13.5</v>
      </c>
      <c r="B23">
        <v>17.234042553191482</v>
      </c>
      <c r="C23">
        <v>17.23404255319149</v>
      </c>
    </row>
    <row r="24" spans="1:3" x14ac:dyDescent="0.3">
      <c r="A24">
        <v>14</v>
      </c>
      <c r="B24">
        <v>17.5</v>
      </c>
      <c r="C24">
        <v>17.500000000000004</v>
      </c>
    </row>
    <row r="25" spans="1:3" x14ac:dyDescent="0.3">
      <c r="A25">
        <v>14.5</v>
      </c>
      <c r="B25">
        <v>17.755102040816329</v>
      </c>
      <c r="C25">
        <v>17.755102040816325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model_cap</vt:lpstr>
      <vt:lpstr>model</vt:lpstr>
      <vt:lpstr>ex2</vt:lpstr>
      <vt:lpstr>ex4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2019-03-14T16:54:20Z</dcterms:modified>
</cp:coreProperties>
</file>